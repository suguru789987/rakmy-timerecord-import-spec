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条件表" sheetId="1" state="visible" r:id="rId1"/>
  </sheets>
  <definedNames>
    <definedName name="_xlnm._FilterDatabase" localSheetId="0" hidden="1">'受入条件表'!$A$28:$Q$116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55555"/>
      <sz val="10"/>
    </font>
    <font>
      <b val="1"/>
      <sz val="12"/>
    </font>
    <font>
      <color rgb="00777777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CDD2"/>
      </patternFill>
    </fill>
    <fill>
      <patternFill patternType="solid">
        <fgColor rgb="00DEEAF6"/>
      </patternFill>
    </fill>
    <fill>
      <patternFill patternType="solid">
        <fgColor rgb="00FFF9C4"/>
      </patternFill>
    </fill>
    <fill>
      <patternFill patternType="solid">
        <fgColor rgb="00FFF2CC"/>
      </patternFill>
    </fill>
    <fill>
      <patternFill patternType="solid">
        <fgColor rgb="00FFF3C4"/>
      </patternFill>
    </fill>
    <fill>
      <patternFill patternType="solid">
        <fgColor rgb="00FCE4D6"/>
      </patternFill>
    </fill>
    <fill>
      <patternFill patternType="solid">
        <fgColor rgb="00D6E4FF"/>
      </patternFill>
    </fill>
    <fill>
      <patternFill patternType="solid">
        <fgColor rgb="00E2EFDA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1" pivotButton="0" quotePrefix="0" xfId="0"/>
    <xf numFmtId="0" fontId="3" fillId="0" borderId="1" pivotButton="0" quotePrefix="0" xfId="0"/>
    <xf numFmtId="0" fontId="5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xSplit="3" ySplit="28" topLeftCell="D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9" customWidth="1" min="4" max="4"/>
    <col width="12" customWidth="1" min="5" max="5"/>
    <col width="38" customWidth="1" min="6" max="6"/>
    <col width="44" customWidth="1" min="7" max="7"/>
    <col width="40" customWidth="1" min="8" max="8"/>
    <col width="10" customWidth="1" min="9" max="9"/>
    <col width="20" customWidth="1" min="10" max="10"/>
    <col width="15" customWidth="1" min="11" max="11"/>
    <col width="34" customWidth="1" min="12" max="12"/>
    <col width="20" customWidth="1" min="13" max="13"/>
    <col width="9" customWidth="1" min="14" max="14"/>
    <col width="18" customWidth="1" min="15" max="15"/>
    <col width="11" customWidth="1" min="16" max="16"/>
    <col width="11" customWidth="1" min="17" max="17"/>
  </cols>
  <sheetData>
    <row r="1">
      <c r="A1" s="1" t="inlineStr">
        <is>
          <t>タイムレコード 登録・編集機能 受入条件表</t>
        </is>
      </c>
    </row>
    <row r="2">
      <c r="A2" s="2" t="inlineStr">
        <is>
          <t>用語の定義は 00_定義表.xlsx、操作の手順は 使い方.xlsx を参照。</t>
        </is>
      </c>
    </row>
    <row r="3"/>
    <row r="4">
      <c r="A4" s="3" t="inlineStr">
        <is>
          <t>■ 受入テスト 到達状況</t>
        </is>
      </c>
      <c r="C4" s="4" t="inlineStr">
        <is>
          <t>下表の「合否」を選ぶと自動で更新されます。この範囲は触らないでください</t>
        </is>
      </c>
    </row>
    <row r="5" ht="26" customHeight="1">
      <c r="A5" s="5" t="inlineStr">
        <is>
          <t>マイルストーン</t>
        </is>
      </c>
      <c r="B5" s="5" t="inlineStr">
        <is>
          <t>完了条件</t>
        </is>
      </c>
      <c r="C5" s="5" t="n"/>
      <c r="D5" s="5" t="n"/>
      <c r="E5" s="5" t="inlineStr">
        <is>
          <t>条件数</t>
        </is>
      </c>
      <c r="F5" s="5" t="inlineStr">
        <is>
          <t>OK</t>
        </is>
      </c>
      <c r="G5" s="5" t="inlineStr">
        <is>
          <t>NG</t>
        </is>
      </c>
      <c r="H5" s="5" t="inlineStr">
        <is>
          <t>未判定</t>
        </is>
      </c>
      <c r="I5" s="5" t="inlineStr">
        <is>
          <t>到達率</t>
        </is>
      </c>
    </row>
    <row r="6">
      <c r="A6" s="6" t="inlineStr">
        <is>
          <t>M1 配布物とアップロードの入口／手入力の入口</t>
        </is>
      </c>
      <c r="B6" s="6" t="inlineStr">
        <is>
          <t>テンプレートを配れて、壊れたファイルが入口で止まり、手入力で登録できる</t>
        </is>
      </c>
      <c r="C6" s="6" t="n"/>
      <c r="D6" s="6" t="n"/>
      <c r="E6" s="6">
        <f>COUNTIF($A$29:$A$116,$A6)</f>
        <v/>
      </c>
      <c r="F6" s="6">
        <f>COUNTIFS($A$29:$A$116,$A6,$N$29:$N$116,"OK")</f>
        <v/>
      </c>
      <c r="G6" s="6">
        <f>COUNTIFS($A$29:$A$116,$A6,$N$29:$N$116,"NG")</f>
        <v/>
      </c>
      <c r="H6" s="6">
        <f>E6-F6-G6</f>
        <v/>
      </c>
      <c r="I6" s="7">
        <f>IF(E6=0,"",F6/E6)</f>
        <v/>
      </c>
    </row>
    <row r="7">
      <c r="A7" s="6" t="inlineStr">
        <is>
          <t>M2 プレビューと判定／登録モーダル</t>
        </is>
      </c>
      <c r="B7" s="6" t="inlineStr">
        <is>
          <t>取り込む前に件数と誤りが見え、登録モーダルが新規と編集で出し分けられる</t>
        </is>
      </c>
      <c r="C7" s="6" t="n"/>
      <c r="D7" s="6" t="n"/>
      <c r="E7" s="6">
        <f>COUNTIF($A$29:$A$116,$A7)</f>
        <v/>
      </c>
      <c r="F7" s="6">
        <f>COUNTIFS($A$29:$A$116,$A7,$N$29:$N$116,"OK")</f>
        <v/>
      </c>
      <c r="G7" s="6">
        <f>COUNTIFS($A$29:$A$116,$A7,$N$29:$N$116,"NG")</f>
        <v/>
      </c>
      <c r="H7" s="6">
        <f>E7-F7-G7</f>
        <v/>
      </c>
      <c r="I7" s="7">
        <f>IF(E7=0,"",F7/E7)</f>
        <v/>
      </c>
    </row>
    <row r="8">
      <c r="A8" s="6" t="inlineStr">
        <is>
          <t>M3 実行と完了</t>
        </is>
      </c>
      <c r="B8" s="6" t="inlineStr">
        <is>
          <t>二重登録されず失敗行が残らない。手入力とCSVの両方で通しで導入が完了する</t>
        </is>
      </c>
      <c r="C8" s="6" t="n"/>
      <c r="D8" s="6" t="n"/>
      <c r="E8" s="6">
        <f>COUNTIF($A$29:$A$116,$A8)</f>
        <v/>
      </c>
      <c r="F8" s="6">
        <f>COUNTIFS($A$29:$A$116,$A8,$N$29:$N$116,"OK")</f>
        <v/>
      </c>
      <c r="G8" s="6">
        <f>COUNTIFS($A$29:$A$116,$A8,$N$29:$N$116,"NG")</f>
        <v/>
      </c>
      <c r="H8" s="6">
        <f>E8-F8-G8</f>
        <v/>
      </c>
      <c r="I8" s="7">
        <f>IF(E8=0,"",F8/E8)</f>
        <v/>
      </c>
    </row>
    <row r="9">
      <c r="A9" s="6" t="inlineStr">
        <is>
          <t>M4 書き込みの正しさ</t>
        </is>
      </c>
      <c r="B9" s="6" t="inlineStr">
        <is>
          <t>テンプレートの全列がDBに入り、昇格で勤務店舗が消えない</t>
        </is>
      </c>
      <c r="C9" s="6" t="n"/>
      <c r="D9" s="6" t="n"/>
      <c r="E9" s="6">
        <f>COUNTIF($A$29:$A$116,$A9)</f>
        <v/>
      </c>
      <c r="F9" s="6">
        <f>COUNTIFS($A$29:$A$116,$A9,$N$29:$N$116,"OK")</f>
        <v/>
      </c>
      <c r="G9" s="6">
        <f>COUNTIFS($A$29:$A$116,$A9,$N$29:$N$116,"NG")</f>
        <v/>
      </c>
      <c r="H9" s="6">
        <f>E9-F9-G9</f>
        <v/>
      </c>
      <c r="I9" s="7">
        <f>IF(E9=0,"",F9/E9)</f>
        <v/>
      </c>
    </row>
    <row r="10">
      <c r="A10" s="6" t="inlineStr">
        <is>
          <t>M5 運用更新と再取り込み</t>
        </is>
      </c>
      <c r="B10" s="6" t="inlineStr">
        <is>
          <t>既存を壊さずに更新でき、中断から正しく復元できる</t>
        </is>
      </c>
      <c r="C10" s="6" t="n"/>
      <c r="D10" s="6" t="n"/>
      <c r="E10" s="6">
        <f>COUNTIF($A$29:$A$116,$A10)</f>
        <v/>
      </c>
      <c r="F10" s="6">
        <f>COUNTIFS($A$29:$A$116,$A10,$N$29:$N$116,"OK")</f>
        <v/>
      </c>
      <c r="G10" s="6">
        <f>COUNTIFS($A$29:$A$116,$A10,$N$29:$N$116,"NG")</f>
        <v/>
      </c>
      <c r="H10" s="6">
        <f>E10-F10-G10</f>
        <v/>
      </c>
      <c r="I10" s="7">
        <f>IF(E10=0,"",F10/E10)</f>
        <v/>
      </c>
    </row>
    <row r="11">
      <c r="A11" s="6" t="inlineStr">
        <is>
          <t>M6 権限と手入力との分担</t>
        </is>
      </c>
      <c r="B11" s="6" t="inlineStr">
        <is>
          <t>店長が全社マスタを触れず、削除・編集の出口が塞がっていない</t>
        </is>
      </c>
      <c r="C11" s="6" t="n"/>
      <c r="D11" s="6" t="n"/>
      <c r="E11" s="6">
        <f>COUNTIF($A$29:$A$116,$A11)</f>
        <v/>
      </c>
      <c r="F11" s="6">
        <f>COUNTIFS($A$29:$A$116,$A11,$N$29:$N$116,"OK")</f>
        <v/>
      </c>
      <c r="G11" s="6">
        <f>COUNTIFS($A$29:$A$116,$A11,$N$29:$N$116,"NG")</f>
        <v/>
      </c>
      <c r="H11" s="6">
        <f>E11-F11-G11</f>
        <v/>
      </c>
      <c r="I11" s="7">
        <f>IF(E11=0,"",F11/E11)</f>
        <v/>
      </c>
    </row>
    <row r="12">
      <c r="A12" s="6" t="inlineStr">
        <is>
          <t>— 対象外・検証の前提</t>
        </is>
      </c>
      <c r="B12" s="6" t="inlineStr">
        <is>
          <t>実装対象ではない</t>
        </is>
      </c>
      <c r="C12" s="6" t="n"/>
      <c r="D12" s="6" t="n"/>
      <c r="E12" s="6">
        <f>COUNTIF($A$29:$A$116,$A12)</f>
        <v/>
      </c>
      <c r="F12" s="6">
        <f>COUNTIFS($A$29:$A$116,$A12,$N$29:$N$116,"OK")</f>
        <v/>
      </c>
      <c r="G12" s="6">
        <f>COUNTIFS($A$29:$A$116,$A12,$N$29:$N$116,"NG")</f>
        <v/>
      </c>
      <c r="H12" s="6">
        <f>E12-F12-G12</f>
        <v/>
      </c>
      <c r="I12" s="7">
        <f>IF(E12=0,"",F12/E12)</f>
        <v/>
      </c>
    </row>
    <row r="13">
      <c r="A13" s="8" t="inlineStr">
        <is>
          <t>総合判定</t>
        </is>
      </c>
      <c r="B13" s="8">
        <f>IF(COUNTIFS($E$29:$E$116,"MVP必須",$N$29:$N$116,"NG")&gt;0,"MVP未達（MVP必須のNG "&amp;COUNTIFS($E$29:$E$116,"MVP必須",$N$29:$N$116,"NG")&amp;"件）── リリース不可",IF((COUNTIF($E$29:$E$116,"MVP必須")-COUNTIFS($E$29:$E$116,"MVP必須",$N$29:$N$116,"OK")-COUNTIFS($E$29:$E$116,"MVP必須",$N$29:$N$116,"NG"))&gt;0,"判定未完了（MVP必須の残 "&amp;(COUNTIF($E$29:$E$116,"MVP必須")-COUNTIFS($E$29:$E$116,"MVP必須",$N$29:$N$116,"OK")-COUNTIFS($E$29:$E$116,"MVP必須",$N$29:$N$116,"NG"))&amp;"件）",IF(COUNTIFS($E$29:$E$116,"リリース必須",$N$29:$N$116,"NG")&gt;0,"MVP到達。リリース必須にNGあり ── 運用でカバーできるか判断","MVP到達・リリース必須も充足 ── リリース可")))</f>
        <v/>
      </c>
      <c r="C13" s="6" t="n"/>
      <c r="D13" s="6" t="n"/>
      <c r="E13" s="6" t="n"/>
      <c r="F13" s="6" t="n"/>
      <c r="G13" s="6" t="n"/>
      <c r="H13" s="6" t="n"/>
      <c r="I13" s="6" t="n"/>
    </row>
    <row r="14"/>
    <row r="15" ht="26" customHeight="1">
      <c r="A15" s="5" t="inlineStr">
        <is>
          <t>フロー</t>
        </is>
      </c>
      <c r="B15" s="5" t="inlineStr">
        <is>
          <t>内容</t>
        </is>
      </c>
      <c r="C15" s="5" t="n"/>
      <c r="D15" s="5" t="n"/>
      <c r="E15" s="5" t="inlineStr">
        <is>
          <t>条件数</t>
        </is>
      </c>
      <c r="F15" s="5" t="inlineStr">
        <is>
          <t>OK</t>
        </is>
      </c>
      <c r="G15" s="5" t="inlineStr">
        <is>
          <t>NG</t>
        </is>
      </c>
      <c r="H15" s="5" t="inlineStr">
        <is>
          <t>未判定</t>
        </is>
      </c>
      <c r="I15" s="5" t="inlineStr">
        <is>
          <t>到達率</t>
        </is>
      </c>
    </row>
    <row r="16">
      <c r="A16" s="6" t="inlineStr">
        <is>
          <t>フロー1</t>
        </is>
      </c>
      <c r="B16" s="6" t="inlineStr">
        <is>
          <t>新規登録セルフスタート（手入力モーダル）</t>
        </is>
      </c>
      <c r="C16" s="6" t="n"/>
      <c r="D16" s="6" t="n"/>
      <c r="E16" s="6">
        <f>COUNTIF($I$29:$I$116,"*1*")</f>
        <v/>
      </c>
      <c r="F16" s="6">
        <f>COUNTIFS($I$29:$I$116,"*1*",$N$29:$N$116,"OK")</f>
        <v/>
      </c>
      <c r="G16" s="6">
        <f>COUNTIFS($I$29:$I$116,"*1*",$N$29:$N$116,"NG")</f>
        <v/>
      </c>
      <c r="H16" s="6">
        <f>E16-F16-G16</f>
        <v/>
      </c>
      <c r="I16" s="7">
        <f>IF(E16=0,"",F16/E16)</f>
        <v/>
      </c>
    </row>
    <row r="17">
      <c r="A17" s="6" t="inlineStr">
        <is>
          <t>フロー2</t>
        </is>
      </c>
      <c r="B17" s="6" t="inlineStr">
        <is>
          <t>新規登録セルフスタート（CSVインポート）</t>
        </is>
      </c>
      <c r="C17" s="6" t="n"/>
      <c r="D17" s="6" t="n"/>
      <c r="E17" s="6">
        <f>COUNTIF($I$29:$I$116,"*2*")</f>
        <v/>
      </c>
      <c r="F17" s="6">
        <f>COUNTIFS($I$29:$I$116,"*2*",$N$29:$N$116,"OK")</f>
        <v/>
      </c>
      <c r="G17" s="6">
        <f>COUNTIFS($I$29:$I$116,"*2*",$N$29:$N$116,"NG")</f>
        <v/>
      </c>
      <c r="H17" s="6">
        <f>E17-F17-G17</f>
        <v/>
      </c>
      <c r="I17" s="7">
        <f>IF(E17=0,"",F17/E17)</f>
        <v/>
      </c>
    </row>
    <row r="18">
      <c r="A18" s="6" t="inlineStr">
        <is>
          <t>フロー3</t>
        </is>
      </c>
      <c r="B18" s="6" t="inlineStr">
        <is>
          <t>運用の登録・編集（手入力モーダル）</t>
        </is>
      </c>
      <c r="C18" s="6" t="n"/>
      <c r="D18" s="6" t="n"/>
      <c r="E18" s="6">
        <f>COUNTIF($I$29:$I$116,"*3*")</f>
        <v/>
      </c>
      <c r="F18" s="6">
        <f>COUNTIFS($I$29:$I$116,"*3*",$N$29:$N$116,"OK")</f>
        <v/>
      </c>
      <c r="G18" s="6">
        <f>COUNTIFS($I$29:$I$116,"*3*",$N$29:$N$116,"NG")</f>
        <v/>
      </c>
      <c r="H18" s="6">
        <f>E18-F18-G18</f>
        <v/>
      </c>
      <c r="I18" s="7">
        <f>IF(E18=0,"",F18/E18)</f>
        <v/>
      </c>
    </row>
    <row r="19">
      <c r="A19" s="6" t="inlineStr">
        <is>
          <t>フロー4</t>
        </is>
      </c>
      <c r="B19" s="6" t="inlineStr">
        <is>
          <t>運用の登録（CSVインポート）</t>
        </is>
      </c>
      <c r="C19" s="6" t="n"/>
      <c r="D19" s="6" t="n"/>
      <c r="E19" s="6">
        <f>COUNTIF($I$29:$I$116,"*4*")</f>
        <v/>
      </c>
      <c r="F19" s="6">
        <f>COUNTIFS($I$29:$I$116,"*4*",$N$29:$N$116,"OK")</f>
        <v/>
      </c>
      <c r="G19" s="6">
        <f>COUNTIFS($I$29:$I$116,"*4*",$N$29:$N$116,"NG")</f>
        <v/>
      </c>
      <c r="H19" s="6">
        <f>E19-F19-G19</f>
        <v/>
      </c>
      <c r="I19" s="7">
        <f>IF(E19=0,"",F19/E19)</f>
        <v/>
      </c>
    </row>
    <row r="20"/>
    <row r="21" ht="26" customHeight="1">
      <c r="A21" s="5" t="inlineStr">
        <is>
          <t>実装レベル</t>
        </is>
      </c>
      <c r="B21" s="5" t="inlineStr">
        <is>
          <t>意味</t>
        </is>
      </c>
      <c r="C21" s="5" t="n"/>
      <c r="D21" s="5" t="n"/>
      <c r="E21" s="5" t="inlineStr">
        <is>
          <t>条件数</t>
        </is>
      </c>
      <c r="F21" s="5" t="inlineStr">
        <is>
          <t>OK</t>
        </is>
      </c>
      <c r="G21" s="5" t="inlineStr">
        <is>
          <t>NG</t>
        </is>
      </c>
      <c r="H21" s="5" t="inlineStr">
        <is>
          <t>未判定</t>
        </is>
      </c>
      <c r="I21" s="5" t="inlineStr">
        <is>
          <t>到達率</t>
        </is>
      </c>
    </row>
    <row r="22">
      <c r="A22" s="6" t="inlineStr">
        <is>
          <t>MVP必須</t>
        </is>
      </c>
      <c r="B22" s="6" t="inlineStr">
        <is>
          <t>揃わないと機能として成立しない</t>
        </is>
      </c>
      <c r="C22" s="6" t="n"/>
      <c r="D22" s="6" t="n"/>
      <c r="E22" s="6">
        <f>COUNTIF($E$29:$E$116,$A22)</f>
        <v/>
      </c>
      <c r="F22" s="6">
        <f>COUNTIFS($E$29:$E$116,$A22,$N$29:$N$116,"OK")</f>
        <v/>
      </c>
      <c r="G22" s="6">
        <f>COUNTIFS($E$29:$E$116,$A22,$N$29:$N$116,"NG")</f>
        <v/>
      </c>
      <c r="H22" s="6">
        <f>E22-F22-G22</f>
        <v/>
      </c>
      <c r="I22" s="7">
        <f>IF(E22=0,"",F22/E22)</f>
        <v/>
      </c>
    </row>
    <row r="23">
      <c r="A23" s="6" t="inlineStr">
        <is>
          <t>リリース必須</t>
        </is>
      </c>
      <c r="B23" s="6" t="inlineStr">
        <is>
          <t>顧客に出すのに必要</t>
        </is>
      </c>
      <c r="C23" s="6" t="n"/>
      <c r="D23" s="6" t="n"/>
      <c r="E23" s="6">
        <f>COUNTIF($E$29:$E$116,$A23)</f>
        <v/>
      </c>
      <c r="F23" s="6">
        <f>COUNTIFS($E$29:$E$116,$A23,$N$29:$N$116,"OK")</f>
        <v/>
      </c>
      <c r="G23" s="6">
        <f>COUNTIFS($E$29:$E$116,$A23,$N$29:$N$116,"NG")</f>
        <v/>
      </c>
      <c r="H23" s="6">
        <f>E23-F23-G23</f>
        <v/>
      </c>
      <c r="I23" s="7">
        <f>IF(E23=0,"",F23/E23)</f>
        <v/>
      </c>
    </row>
    <row r="24">
      <c r="A24" s="6" t="inlineStr">
        <is>
          <t>改善</t>
        </is>
      </c>
      <c r="B24" s="6" t="inlineStr">
        <is>
          <t>無くても運用は回る</t>
        </is>
      </c>
      <c r="C24" s="6" t="n"/>
      <c r="D24" s="6" t="n"/>
      <c r="E24" s="6">
        <f>COUNTIF($E$29:$E$116,$A24)</f>
        <v/>
      </c>
      <c r="F24" s="6">
        <f>COUNTIFS($E$29:$E$116,$A24,$N$29:$N$116,"OK")</f>
        <v/>
      </c>
      <c r="G24" s="6">
        <f>COUNTIFS($E$29:$E$116,$A24,$N$29:$N$116,"NG")</f>
        <v/>
      </c>
      <c r="H24" s="6">
        <f>E24-F24-G24</f>
        <v/>
      </c>
      <c r="I24" s="7">
        <f>IF(E24=0,"",F24/E24)</f>
        <v/>
      </c>
    </row>
    <row r="25">
      <c r="A25" s="6" t="inlineStr">
        <is>
          <t>—</t>
        </is>
      </c>
      <c r="B25" s="6" t="inlineStr">
        <is>
          <t>対象外・検証の前提</t>
        </is>
      </c>
      <c r="C25" s="6" t="n"/>
      <c r="D25" s="6" t="n"/>
      <c r="E25" s="6">
        <f>COUNTIF($E$29:$E$116,$A25)</f>
        <v/>
      </c>
      <c r="F25" s="6">
        <f>COUNTIFS($E$29:$E$116,$A25,$N$29:$N$116,"OK")</f>
        <v/>
      </c>
      <c r="G25" s="6">
        <f>COUNTIFS($E$29:$E$116,$A25,$N$29:$N$116,"NG")</f>
        <v/>
      </c>
      <c r="H25" s="6">
        <f>E25-F25-G25</f>
        <v/>
      </c>
      <c r="I25" s="7">
        <f>IF(E25=0,"",F25/E25)</f>
        <v/>
      </c>
    </row>
    <row r="26"/>
    <row r="27">
      <c r="A27" s="3" t="inlineStr">
        <is>
          <t>■ 受入条件（88件）</t>
        </is>
      </c>
      <c r="C27" s="4" t="inlineStr">
        <is>
          <t>「合否」を選ぶと上の到達状況に反映されます。黄色が記入欄</t>
        </is>
      </c>
    </row>
    <row r="28" ht="26" customHeight="1">
      <c r="A28" s="9" t="inlineStr">
        <is>
          <t>マイルストーン</t>
        </is>
      </c>
      <c r="B28" s="9" t="inlineStr">
        <is>
          <t>マイルストーンの完了条件</t>
        </is>
      </c>
      <c r="C28" s="9" t="inlineStr">
        <is>
          <t>設計ポイント</t>
        </is>
      </c>
      <c r="D28" s="9" t="inlineStr">
        <is>
          <t>条件ID</t>
        </is>
      </c>
      <c r="E28" s="9" t="inlineStr">
        <is>
          <t>実装レベル</t>
        </is>
      </c>
      <c r="F28" s="9" t="inlineStr">
        <is>
          <t>何を実装するか</t>
        </is>
      </c>
      <c r="G28" s="9" t="inlineStr">
        <is>
          <t>合格ライン（この数値を満たせば実装完了）</t>
        </is>
      </c>
      <c r="H28" s="9" t="inlineStr">
        <is>
          <t>実装できていないと起きること</t>
        </is>
      </c>
      <c r="I28" s="9" t="inlineStr">
        <is>
          <t>フロー</t>
        </is>
      </c>
      <c r="J28" s="9" t="inlineStr">
        <is>
          <t>確認する画面</t>
        </is>
      </c>
      <c r="K28" s="9" t="inlineStr">
        <is>
          <t>確認方法</t>
        </is>
      </c>
      <c r="L28" s="9" t="inlineStr">
        <is>
          <t>仕様書の根拠</t>
        </is>
      </c>
      <c r="M28" s="9" t="inlineStr">
        <is>
          <t>対応検証ID</t>
        </is>
      </c>
      <c r="N28" s="9" t="inlineStr">
        <is>
          <t>合否</t>
        </is>
      </c>
      <c r="O28" s="9" t="inlineStr">
        <is>
          <t>実測値</t>
        </is>
      </c>
      <c r="P28" s="9" t="inlineStr">
        <is>
          <t>判定者</t>
        </is>
      </c>
      <c r="Q28" s="9" t="inlineStr">
        <is>
          <t>判定日</t>
        </is>
      </c>
    </row>
    <row r="29">
      <c r="A29" s="10" t="inlineStr">
        <is>
          <t>M1 配布物とアップロードの入口／手入力の入口</t>
        </is>
      </c>
      <c r="B29" s="10" t="inlineStr">
        <is>
          <t>テンプレートを配れて、壊れたファイルが入口で止まり、手入力で登録できる</t>
        </is>
      </c>
      <c r="C29" s="10" t="inlineStr">
        <is>
          <t>⑪ 配布物</t>
        </is>
      </c>
      <c r="D29" s="10" t="inlineStr">
        <is>
          <t>AC-001</t>
        </is>
      </c>
      <c r="E29" s="11" t="inlineStr">
        <is>
          <t>MVP必須</t>
        </is>
      </c>
      <c r="F29" s="10" t="inlineStr">
        <is>
          <t>テンプレートを5種類ダウンロードできる</t>
        </is>
      </c>
      <c r="G29" s="10" t="inlineStr">
        <is>
          <t>①〜⑤の5ファイルすべてがダウンロードでき、Excelで開いて文字化けしない（開けない・化けるファイル＝0件）</t>
        </is>
      </c>
      <c r="H29" s="10" t="inlineStr">
        <is>
          <t>**テンプレートが文字化けし、そもそも入力できない**</t>
        </is>
      </c>
      <c r="I29" s="12" t="inlineStr">
        <is>
          <t>2</t>
        </is>
      </c>
      <c r="J29" s="10" t="inlineStr">
        <is>
          <t>インポート</t>
        </is>
      </c>
      <c r="K29" s="10" t="inlineStr">
        <is>
          <t>動作確認（検証プラン）</t>
        </is>
      </c>
      <c r="L29" s="10" t="inlineStr">
        <is>
          <t>README §9.5</t>
        </is>
      </c>
      <c r="M29" s="10" t="inlineStr">
        <is>
          <t>OP-101</t>
        </is>
      </c>
      <c r="N29" s="13" t="inlineStr"/>
      <c r="O29" s="13" t="inlineStr"/>
      <c r="P29" s="13" t="inlineStr"/>
      <c r="Q29" s="13" t="inlineStr"/>
    </row>
    <row r="30">
      <c r="A30" s="10" t="inlineStr">
        <is>
          <t>M1 配布物とアップロードの入口／手入力の入口</t>
        </is>
      </c>
      <c r="B30" s="10" t="inlineStr">
        <is>
          <t>テンプレートを配れて、壊れたファイルが入口で止まり、手入力で登録できる</t>
        </is>
      </c>
      <c r="C30" s="10" t="inlineStr">
        <is>
          <t>⑪ 配布物</t>
        </is>
      </c>
      <c r="D30" s="10" t="inlineStr">
        <is>
          <t>AC-002</t>
        </is>
      </c>
      <c r="E30" s="11" t="inlineStr">
        <is>
          <t>MVP必須</t>
        </is>
      </c>
      <c r="F30" s="10" t="inlineStr">
        <is>
          <t>配布テンプレートのサンプル行にコードが入っていない</t>
        </is>
      </c>
      <c r="G30" s="10" t="inlineStr">
        <is>
          <t>③雇用区分・④従業員のサンプル行でコード列が空欄（値が入っているファイル＝0件）</t>
        </is>
      </c>
      <c r="H30" s="10" t="inlineStr">
        <is>
          <t>**サンプルのコードが他社と衝突する。** 全社横断でユニークなため</t>
        </is>
      </c>
      <c r="I30" s="12" t="inlineStr">
        <is>
          <t>2</t>
        </is>
      </c>
      <c r="J30" s="10" t="inlineStr">
        <is>
          <t>インポート</t>
        </is>
      </c>
      <c r="K30" s="10" t="inlineStr">
        <is>
          <t>実装レビュー（配布テンプレート）</t>
        </is>
      </c>
      <c r="L30" s="10" t="inlineStr">
        <is>
          <t>README §8.1</t>
        </is>
      </c>
      <c r="M30" s="10" t="inlineStr">
        <is>
          <t>OP-101</t>
        </is>
      </c>
      <c r="N30" s="13" t="inlineStr"/>
      <c r="O30" s="13" t="inlineStr"/>
      <c r="P30" s="13" t="inlineStr"/>
      <c r="Q30" s="13" t="inlineStr"/>
    </row>
    <row r="31">
      <c r="A31" s="10" t="inlineStr">
        <is>
          <t>M1 配布物とアップロードの入口／手入力の入口</t>
        </is>
      </c>
      <c r="B31" s="10" t="inlineStr">
        <is>
          <t>テンプレートを配れて、壊れたファイルが入口で止まり、手入力で登録できる</t>
        </is>
      </c>
      <c r="C31" s="10" t="inlineStr">
        <is>
          <t>④ 入口で止める</t>
        </is>
      </c>
      <c r="D31" s="10" t="inlineStr">
        <is>
          <t>AC-011</t>
        </is>
      </c>
      <c r="E31" s="11" t="inlineStr">
        <is>
          <t>MVP必須</t>
        </is>
      </c>
      <c r="F31" s="10" t="inlineStr">
        <is>
          <t>上限を超えたファイルを受け付けない</t>
        </is>
      </c>
      <c r="G31" s="10" t="inlineStr">
        <is>
          <t>①②③⑤は500行が受理・501行が拒否。④従業員は200行が受理・201行が拒否。ファイルサイズは5.0MBが受理・5.1MBが拒否。拒否時は上限と実際の値がメッセージに出る</t>
        </is>
      </c>
      <c r="H31" s="10" t="inlineStr">
        <is>
          <t>**上限超過のまま処理が走り、タイムアウトや部分登録が起きる**</t>
        </is>
      </c>
      <c r="I31" s="12" t="inlineStr">
        <is>
          <t>2 / 4</t>
        </is>
      </c>
      <c r="J31" s="10" t="inlineStr">
        <is>
          <t>アップロード</t>
        </is>
      </c>
      <c r="K31" s="10" t="inlineStr">
        <is>
          <t>動作確認（検証プラン）</t>
        </is>
      </c>
      <c r="L31" s="10" t="inlineStr">
        <is>
          <t>README §7.5</t>
        </is>
      </c>
      <c r="M31" s="10" t="inlineStr">
        <is>
          <t>CA-001 / CA-003 / CA-005 / OP-211 / OP-213</t>
        </is>
      </c>
      <c r="N31" s="13" t="inlineStr"/>
      <c r="O31" s="13" t="inlineStr"/>
      <c r="P31" s="13" t="inlineStr"/>
      <c r="Q31" s="13" t="inlineStr"/>
    </row>
    <row r="32">
      <c r="A32" s="10" t="inlineStr">
        <is>
          <t>M1 配布物とアップロードの入口／手入力の入口</t>
        </is>
      </c>
      <c r="B32" s="10" t="inlineStr">
        <is>
          <t>テンプレートを配れて、壊れたファイルが入口で止まり、手入力で登録できる</t>
        </is>
      </c>
      <c r="C32" s="10" t="inlineStr">
        <is>
          <t>④ 入口で止める</t>
        </is>
      </c>
      <c r="D32" s="10" t="inlineStr">
        <is>
          <t>AC-012</t>
        </is>
      </c>
      <c r="E32" s="11" t="inlineStr">
        <is>
          <t>MVP必須</t>
        </is>
      </c>
      <c r="F32" s="10" t="inlineStr">
        <is>
          <t>壊れたファイルを受け付けない</t>
        </is>
      </c>
      <c r="G32" s="10" t="inlineStr">
        <is>
          <t>「文字コードがUTF-8ではない可能性があります」と表示される／「テンプレートの列が一致しません」と表示され、必要な列と見つかった列が併記される／「取り込めるデータがありません」と表示される</t>
        </is>
      </c>
      <c r="H32" s="10" t="inlineStr">
        <is>
          <t>**壊れたファイルがプレビューまで進み、意味不明なエラーが大量に出る**</t>
        </is>
      </c>
      <c r="I32" s="12" t="inlineStr">
        <is>
          <t>2 / 4</t>
        </is>
      </c>
      <c r="J32" s="10" t="inlineStr">
        <is>
          <t>アップロード</t>
        </is>
      </c>
      <c r="K32" s="10" t="inlineStr">
        <is>
          <t>動作確認（検証プラン）</t>
        </is>
      </c>
      <c r="L32" s="10" t="inlineStr">
        <is>
          <t>README §9.5</t>
        </is>
      </c>
      <c r="M32" s="10" t="inlineStr">
        <is>
          <t>OP-214 / OP-215 / OP-216</t>
        </is>
      </c>
      <c r="N32" s="13" t="inlineStr"/>
      <c r="O32" s="13" t="inlineStr"/>
      <c r="P32" s="13" t="inlineStr"/>
      <c r="Q32" s="13" t="inlineStr"/>
    </row>
    <row r="33">
      <c r="A33" s="10" t="inlineStr">
        <is>
          <t>M1 配布物とアップロードの入口／手入力の入口</t>
        </is>
      </c>
      <c r="B33" s="10" t="inlineStr">
        <is>
          <t>テンプレートを配れて、壊れたファイルが入口で止まり、手入力で登録できる</t>
        </is>
      </c>
      <c r="C33" s="10" t="inlineStr">
        <is>
          <t>⑥ 順序と依存</t>
        </is>
      </c>
      <c r="D33" s="10" t="inlineStr">
        <is>
          <t>AC-016</t>
        </is>
      </c>
      <c r="E33" s="11" t="inlineStr">
        <is>
          <t>MVP必須</t>
        </is>
      </c>
      <c r="F33" s="10" t="inlineStr">
        <is>
          <t>取り込み順序が守られている</t>
        </is>
      </c>
      <c r="G33" s="10" t="inlineStr">
        <is>
          <t>①未登録の状態で②を取り込むと、所属業態が引き当てられずエラー（取り込まれた件数＝0件）。①→②の順なら全件が「新規」と表示される</t>
        </is>
      </c>
      <c r="H33" s="10" t="inlineStr">
        <is>
          <t>**参照先が未登録で全行エラーになる。** 顧客は原因が分からない</t>
        </is>
      </c>
      <c r="I33" s="12" t="inlineStr">
        <is>
          <t>2</t>
        </is>
      </c>
      <c r="J33" s="10" t="inlineStr">
        <is>
          <t>プレビュー</t>
        </is>
      </c>
      <c r="K33" s="10" t="inlineStr">
        <is>
          <t>動作確認（検証プラン）</t>
        </is>
      </c>
      <c r="L33" s="10" t="inlineStr">
        <is>
          <t>README §1.3</t>
        </is>
      </c>
      <c r="M33" s="10" t="inlineStr">
        <is>
          <t>OP-201 / OP-202</t>
        </is>
      </c>
      <c r="N33" s="13" t="inlineStr"/>
      <c r="O33" s="13" t="inlineStr"/>
      <c r="P33" s="13" t="inlineStr"/>
      <c r="Q33" s="13" t="inlineStr"/>
    </row>
    <row r="34">
      <c r="A34" s="10" t="inlineStr">
        <is>
          <t>M1 配布物とアップロードの入口／手入力の入口</t>
        </is>
      </c>
      <c r="B34" s="10" t="inlineStr">
        <is>
          <t>テンプレートを配れて、壊れたファイルが入口で止まり、手入力で登録できる</t>
        </is>
      </c>
      <c r="C34" s="10" t="inlineStr">
        <is>
          <t>⓪ 導入が通しで完了する</t>
        </is>
      </c>
      <c r="D34" s="10" t="inlineStr">
        <is>
          <t>AC-078</t>
        </is>
      </c>
      <c r="E34" s="11" t="inlineStr">
        <is>
          <t>MVP必須</t>
        </is>
      </c>
      <c r="F34" s="10" t="inlineStr">
        <is>
          <t>実運用の規模を分割せずに取り込める</t>
        </is>
      </c>
      <c r="G34" s="10" t="inlineStr">
        <is>
          <t>分割せずに受理される（④は200行、他は500行の範囲に収まる）</t>
        </is>
      </c>
      <c r="H34" s="10" t="inlineStr">
        <is>
          <t>**分割が必要だと1件ずつ入力するのと手間が変わらず、機能の価値が消える。** 上限が実運用の規模に足りているかの確認</t>
        </is>
      </c>
      <c r="I34" s="12" t="inlineStr">
        <is>
          <t>2 / 4</t>
        </is>
      </c>
      <c r="J34" s="10" t="inlineStr">
        <is>
          <t>アップロード</t>
        </is>
      </c>
      <c r="K34" s="10" t="inlineStr">
        <is>
          <t>動作確認（検証プラン）</t>
        </is>
      </c>
      <c r="L34" s="10" t="inlineStr">
        <is>
          <t>仕様書 1.1 何を解決しているか／README §7.5</t>
        </is>
      </c>
      <c r="M34" s="10" t="inlineStr">
        <is>
          <t>OP-620 / CA-003</t>
        </is>
      </c>
      <c r="N34" s="13" t="inlineStr"/>
      <c r="O34" s="13" t="inlineStr"/>
      <c r="P34" s="13" t="inlineStr"/>
      <c r="Q34" s="13" t="inlineStr"/>
    </row>
    <row r="35">
      <c r="A35" s="10" t="inlineStr">
        <is>
          <t>M1 配布物とアップロードの入口／手入力の入口</t>
        </is>
      </c>
      <c r="B35" s="10" t="inlineStr">
        <is>
          <t>テンプレートを配れて、壊れたファイルが入口で止まり、手入力で登録できる</t>
        </is>
      </c>
      <c r="C35" s="10" t="inlineStr">
        <is>
          <t>⑥ 順序と依存</t>
        </is>
      </c>
      <c r="D35" s="10" t="inlineStr">
        <is>
          <t>AC-101</t>
        </is>
      </c>
      <c r="E35" s="11" t="inlineStr">
        <is>
          <t>MVP必須</t>
        </is>
      </c>
      <c r="F35" s="10" t="inlineStr">
        <is>
          <t>手入力でも登録順序が守られる</t>
        </is>
      </c>
      <c r="G35" s="10" t="inlineStr">
        <is>
          <t>未到達のステップで登録できた件数＝0件（警告バナーが出てボタンが押せない）</t>
        </is>
      </c>
      <c r="H35" s="10" t="inlineStr">
        <is>
          <t>**参照先が無い状態で登録され、データが繋がらない。** インポートの順序依存と同じ問題</t>
        </is>
      </c>
      <c r="I35" s="14" t="inlineStr">
        <is>
          <t>1</t>
        </is>
      </c>
      <c r="J35" s="10" t="inlineStr">
        <is>
          <t>初期セットアップ</t>
        </is>
      </c>
      <c r="K35" s="10" t="inlineStr">
        <is>
          <t>動作確認（検証プラン）</t>
        </is>
      </c>
      <c r="L35" s="10" t="inlineStr">
        <is>
          <t>owner-mock §5.3 順序ガード</t>
        </is>
      </c>
      <c r="M35" s="10" t="inlineStr">
        <is>
          <t>OP-022</t>
        </is>
      </c>
      <c r="N35" s="13" t="inlineStr"/>
      <c r="O35" s="13" t="inlineStr"/>
      <c r="P35" s="13" t="inlineStr"/>
      <c r="Q35" s="13" t="inlineStr"/>
    </row>
    <row r="36">
      <c r="A36" s="10" t="inlineStr">
        <is>
          <t>M1 配布物とアップロードの入口／手入力の入口</t>
        </is>
      </c>
      <c r="B36" s="10" t="inlineStr">
        <is>
          <t>テンプレートを配れて、壊れたファイルが入口で止まり、手入力で登録できる</t>
        </is>
      </c>
      <c r="C36" s="10" t="inlineStr">
        <is>
          <t>⑩ 入口と戻り先</t>
        </is>
      </c>
      <c r="D36" s="10" t="inlineStr">
        <is>
          <t>AC-103</t>
        </is>
      </c>
      <c r="E36" s="11" t="inlineStr">
        <is>
          <t>MVP必須</t>
        </is>
      </c>
      <c r="F36" s="10" t="inlineStr">
        <is>
          <t>4項目完了で運用更新モードに切り替わる</t>
        </is>
      </c>
      <c r="G36" s="10" t="inlineStr">
        <is>
          <t>done&gt;=4 で *-settings を開くと *-ops-settings へ転送される（転送されない＝不合格）</t>
        </is>
      </c>
      <c r="H36" s="10" t="inlineStr">
        <is>
          <t>**運用開始後も初期セットアップ画面が出続ける。** 順序ガードが残り、追加登録ができない</t>
        </is>
      </c>
      <c r="I36" s="14" t="inlineStr">
        <is>
          <t>1 / 3</t>
        </is>
      </c>
      <c r="J36" s="10" t="inlineStr">
        <is>
          <t>各設定画面</t>
        </is>
      </c>
      <c r="K36" s="10" t="inlineStr">
        <is>
          <t>動作確認（検証プラン）</t>
        </is>
      </c>
      <c r="L36" s="10" t="inlineStr">
        <is>
          <t>owner-mock §3.3</t>
        </is>
      </c>
      <c r="M36" s="10" t="inlineStr">
        <is>
          <t>OP-025</t>
        </is>
      </c>
      <c r="N36" s="13" t="inlineStr"/>
      <c r="O36" s="13" t="inlineStr"/>
      <c r="P36" s="13" t="inlineStr"/>
      <c r="Q36" s="13" t="inlineStr"/>
    </row>
    <row r="37">
      <c r="A37" s="10" t="inlineStr">
        <is>
          <t>M1 配布物とアップロードの入口／手入力の入口</t>
        </is>
      </c>
      <c r="B37" s="10" t="inlineStr">
        <is>
          <t>テンプレートを配れて、壊れたファイルが入口で止まり、手入力で登録できる</t>
        </is>
      </c>
      <c r="C37" s="10" t="inlineStr">
        <is>
          <t>⓪ 導入が通しで完了する</t>
        </is>
      </c>
      <c r="D37" s="10" t="inlineStr">
        <is>
          <t>AC-112</t>
        </is>
      </c>
      <c r="E37" s="11" t="inlineStr">
        <is>
          <t>MVP必須</t>
        </is>
      </c>
      <c r="F37" s="10" t="inlineStr">
        <is>
          <t>手入力での新規登録ができる</t>
        </is>
      </c>
      <c r="G37" s="10" t="inlineStr">
        <is>
          <t>初期セットアップから①業態を3件登録でき、登録済み件数＝3件と表示される</t>
        </is>
      </c>
      <c r="H37" s="10" t="inlineStr">
        <is>
          <t>**セルフスタートの入口が動かない。** CSVインポートも同じ画面から入るため全体が止まる</t>
        </is>
      </c>
      <c r="I37" s="14" t="inlineStr">
        <is>
          <t>1</t>
        </is>
      </c>
      <c r="J37" s="10" t="inlineStr">
        <is>
          <t>初期セットアップ／業態設定</t>
        </is>
      </c>
      <c r="K37" s="10" t="inlineStr">
        <is>
          <t>動作確認（検証プラン）</t>
        </is>
      </c>
      <c r="L37" s="10" t="inlineStr">
        <is>
          <t>owner-mock §3.3.2</t>
        </is>
      </c>
      <c r="M37" s="10" t="inlineStr">
        <is>
          <t>OP-021</t>
        </is>
      </c>
      <c r="N37" s="13" t="inlineStr"/>
      <c r="O37" s="13" t="inlineStr"/>
      <c r="P37" s="13" t="inlineStr"/>
      <c r="Q37" s="13" t="inlineStr"/>
    </row>
    <row r="38">
      <c r="A38" s="10" t="inlineStr">
        <is>
          <t>M1 配布物とアップロードの入口／手入力の入口</t>
        </is>
      </c>
      <c r="B38" s="10" t="inlineStr">
        <is>
          <t>テンプレートを配れて、壊れたファイルが入口で止まり、手入力で登録できる</t>
        </is>
      </c>
      <c r="C38" s="10" t="inlineStr">
        <is>
          <t>⑪ 配布物</t>
        </is>
      </c>
      <c r="D38" s="10" t="inlineStr">
        <is>
          <t>AC-003</t>
        </is>
      </c>
      <c r="E38" s="15" t="inlineStr">
        <is>
          <t>リリース必須</t>
        </is>
      </c>
      <c r="F38" s="10" t="inlineStr">
        <is>
          <t>⑤管理者に権限を選ぶ列が無い</t>
        </is>
      </c>
      <c r="G38" s="10" t="inlineStr">
        <is>
          <t>⑤管理者テンプレートが3列（管理者名・メールアドレス・担当店舗）。権限列＝0個</t>
        </is>
      </c>
      <c r="H38" s="10" t="inlineStr">
        <is>
          <t>存在しない権限列を顧客が埋め、混乱する</t>
        </is>
      </c>
      <c r="I38" s="12" t="inlineStr">
        <is>
          <t>2</t>
        </is>
      </c>
      <c r="J38" s="10" t="inlineStr">
        <is>
          <t>インポート</t>
        </is>
      </c>
      <c r="K38" s="10" t="inlineStr">
        <is>
          <t>実装レビュー（配布テンプレート）</t>
        </is>
      </c>
      <c r="L38" s="10" t="inlineStr">
        <is>
          <t>README §7.4</t>
        </is>
      </c>
      <c r="M38" s="10" t="inlineStr">
        <is>
          <t>OP-101</t>
        </is>
      </c>
      <c r="N38" s="13" t="inlineStr"/>
      <c r="O38" s="13" t="inlineStr"/>
      <c r="P38" s="13" t="inlineStr"/>
      <c r="Q38" s="13" t="inlineStr"/>
    </row>
    <row r="39">
      <c r="A39" s="10" t="inlineStr">
        <is>
          <t>M1 配布物とアップロードの入口／手入力の入口</t>
        </is>
      </c>
      <c r="B39" s="10" t="inlineStr">
        <is>
          <t>テンプレートを配れて、壊れたファイルが入口で止まり、手入力で登録できる</t>
        </is>
      </c>
      <c r="C39" s="10" t="inlineStr">
        <is>
          <t>⑪ 配布物</t>
        </is>
      </c>
      <c r="D39" s="10" t="inlineStr">
        <is>
          <t>AC-004</t>
        </is>
      </c>
      <c r="E39" s="15" t="inlineStr">
        <is>
          <t>リリース必須</t>
        </is>
      </c>
      <c r="F39" s="10" t="inlineStr">
        <is>
          <t>②店舗の営業時間が1列である</t>
        </is>
      </c>
      <c r="G39" s="10" t="inlineStr">
        <is>
          <t>②店舗テンプレートの営業時間が1列（開店時間・閉店時間に分かれている＝不合格）</t>
        </is>
      </c>
      <c r="H39" s="10" t="inlineStr">
        <is>
          <t>列構成がDBと合わず取り込めない</t>
        </is>
      </c>
      <c r="I39" s="12" t="inlineStr">
        <is>
          <t>2</t>
        </is>
      </c>
      <c r="J39" s="10" t="inlineStr">
        <is>
          <t>インポート</t>
        </is>
      </c>
      <c r="K39" s="10" t="inlineStr">
        <is>
          <t>実装レビュー（配布テンプレート）</t>
        </is>
      </c>
      <c r="L39" s="10" t="inlineStr">
        <is>
          <t>README §7.3</t>
        </is>
      </c>
      <c r="M39" s="10" t="inlineStr">
        <is>
          <t>OP-101</t>
        </is>
      </c>
      <c r="N39" s="13" t="inlineStr"/>
      <c r="O39" s="13" t="inlineStr"/>
      <c r="P39" s="13" t="inlineStr"/>
      <c r="Q39" s="13" t="inlineStr"/>
    </row>
    <row r="40">
      <c r="A40" s="10" t="inlineStr">
        <is>
          <t>M1 配布物とアップロードの入口／手入力の入口</t>
        </is>
      </c>
      <c r="B40" s="10" t="inlineStr">
        <is>
          <t>テンプレートを配れて、壊れたファイルが入口で止まり、手入力で登録できる</t>
        </is>
      </c>
      <c r="C40" s="10" t="inlineStr">
        <is>
          <t>⑩ 入口と戻り先</t>
        </is>
      </c>
      <c r="D40" s="10" t="inlineStr">
        <is>
          <t>AC-009</t>
        </is>
      </c>
      <c r="E40" s="15" t="inlineStr">
        <is>
          <t>リリース必須</t>
        </is>
      </c>
      <c r="F40" s="10" t="inlineStr">
        <is>
          <t>設定画面から方式選択なしで該当画面に着く</t>
        </is>
      </c>
      <c r="G40" s="10" t="inlineStr">
        <is>
          <t>設定画面から起動 → 方式選択画面の表示回数＝0回（該当画面へ直行）</t>
        </is>
      </c>
      <c r="H40" s="10" t="inlineStr">
        <is>
          <t>設定画面のリンクを踏んでも方式選択が再度出る。**パラメータ名が2つの仕様で食い違っている（要確定）**</t>
        </is>
      </c>
      <c r="I40" s="16" t="inlineStr">
        <is>
          <t>4</t>
        </is>
      </c>
      <c r="J40" s="10" t="inlineStr">
        <is>
          <t>業態設定→インポート</t>
        </is>
      </c>
      <c r="K40" s="10" t="inlineStr">
        <is>
          <t>動作確認（検証プラン）</t>
        </is>
      </c>
      <c r="L40" s="10" t="inlineStr">
        <is>
          <t>仕様書「連携要件A」</t>
        </is>
      </c>
      <c r="M40" s="10" t="inlineStr">
        <is>
          <t>OP-008</t>
        </is>
      </c>
      <c r="N40" s="13" t="inlineStr"/>
      <c r="O40" s="13" t="inlineStr"/>
      <c r="P40" s="13" t="inlineStr"/>
      <c r="Q40" s="13" t="inlineStr"/>
    </row>
    <row r="41">
      <c r="A41" s="10" t="inlineStr">
        <is>
          <t>M1 配布物とアップロードの入口／手入力の入口</t>
        </is>
      </c>
      <c r="B41" s="10" t="inlineStr">
        <is>
          <t>テンプレートを配れて、壊れたファイルが入口で止まり、手入力で登録できる</t>
        </is>
      </c>
      <c r="C41" s="10" t="inlineStr">
        <is>
          <t>⑩ 入口と戻り先</t>
        </is>
      </c>
      <c r="D41" s="10" t="inlineStr">
        <is>
          <t>AC-010</t>
        </is>
      </c>
      <c r="E41" s="15" t="inlineStr">
        <is>
          <t>リリース必須</t>
        </is>
      </c>
      <c r="F41" s="10" t="inlineStr">
        <is>
          <t>入口ごとに正しい場所へ戻る</t>
        </is>
      </c>
      <c r="G41" s="10" t="inlineStr">
        <is>
          <t>3経路それぞれで戻り先が正しい（誤った戻り先＝0件）</t>
        </is>
      </c>
      <c r="H41" s="10" t="inlineStr">
        <is>
          <t>元の作業に戻れず、運用で使われなくなる</t>
        </is>
      </c>
      <c r="I41" s="16" t="inlineStr">
        <is>
          <t>4</t>
        </is>
      </c>
      <c r="J41" s="10" t="inlineStr">
        <is>
          <t>完了画面</t>
        </is>
      </c>
      <c r="K41" s="10" t="inlineStr">
        <is>
          <t>動作確認（検証プラン）</t>
        </is>
      </c>
      <c r="L41" s="10" t="inlineStr">
        <is>
          <t>仕様書「入口と取り込み範囲」</t>
        </is>
      </c>
      <c r="M41" s="10" t="inlineStr">
        <is>
          <t>OP-009</t>
        </is>
      </c>
      <c r="N41" s="13" t="inlineStr"/>
      <c r="O41" s="13" t="inlineStr"/>
      <c r="P41" s="13" t="inlineStr"/>
      <c r="Q41" s="13" t="inlineStr"/>
    </row>
    <row r="42">
      <c r="A42" s="10" t="inlineStr">
        <is>
          <t>M1 配布物とアップロードの入口／手入力の入口</t>
        </is>
      </c>
      <c r="B42" s="10" t="inlineStr">
        <is>
          <t>テンプレートを配れて、壊れたファイルが入口で止まり、手入力で登録できる</t>
        </is>
      </c>
      <c r="C42" s="10" t="inlineStr">
        <is>
          <t>④ 入口で止める</t>
        </is>
      </c>
      <c r="D42" s="10" t="inlineStr">
        <is>
          <t>AC-013</t>
        </is>
      </c>
      <c r="E42" s="15" t="inlineStr">
        <is>
          <t>リリース必須</t>
        </is>
      </c>
      <c r="F42" s="10" t="inlineStr">
        <is>
          <t>拒否されたファイルが一覧に残らない</t>
        </is>
      </c>
      <c r="G42" s="10" t="inlineStr">
        <is>
          <t>どちらも拒否され、種別ごとの上限（500行／200行）と実際の行数を含むメッセージが出る。プレビューに進めない</t>
        </is>
      </c>
      <c r="H42" s="10" t="inlineStr">
        <is>
          <t>拒否されたファイルが残り、取り込んだと誤解する</t>
        </is>
      </c>
      <c r="I42" s="12" t="inlineStr">
        <is>
          <t>2 / 4</t>
        </is>
      </c>
      <c r="J42" s="10" t="inlineStr">
        <is>
          <t>アップロード</t>
        </is>
      </c>
      <c r="K42" s="10" t="inlineStr">
        <is>
          <t>動作確認（検証プラン）</t>
        </is>
      </c>
      <c r="L42" s="10" t="inlineStr">
        <is>
          <t>README §9</t>
        </is>
      </c>
      <c r="M42" s="10" t="inlineStr">
        <is>
          <t>OP-211</t>
        </is>
      </c>
      <c r="N42" s="13" t="inlineStr"/>
      <c r="O42" s="13" t="inlineStr"/>
      <c r="P42" s="13" t="inlineStr"/>
      <c r="Q42" s="13" t="inlineStr"/>
    </row>
    <row r="43">
      <c r="A43" s="10" t="inlineStr">
        <is>
          <t>M1 配布物とアップロードの入口／手入力の入口</t>
        </is>
      </c>
      <c r="B43" s="10" t="inlineStr">
        <is>
          <t>テンプレートを配れて、壊れたファイルが入口で止まり、手入力で登録できる</t>
        </is>
      </c>
      <c r="C43" s="10" t="inlineStr">
        <is>
          <t>② 取り返しがつく</t>
        </is>
      </c>
      <c r="D43" s="10" t="inlineStr">
        <is>
          <t>AC-014</t>
        </is>
      </c>
      <c r="E43" s="15" t="inlineStr">
        <is>
          <t>リリース必須</t>
        </is>
      </c>
      <c r="F43" s="10" t="inlineStr">
        <is>
          <t>受付拒否から復帰できる</t>
        </is>
      </c>
      <c r="G43" s="10" t="inlineStr">
        <is>
          <t>拒否後に正しいファイルを上げ直すと受理され、プレビューに進める（再アップロード成功＝1回で可）</t>
        </is>
      </c>
      <c r="H43" s="10" t="inlineStr">
        <is>
          <t>拒否されたあと何をすれば進めるのか分からず止まる</t>
        </is>
      </c>
      <c r="I43" s="12" t="inlineStr">
        <is>
          <t>2 / 4</t>
        </is>
      </c>
      <c r="J43" s="10" t="inlineStr">
        <is>
          <t>アップロード</t>
        </is>
      </c>
      <c r="K43" s="10" t="inlineStr">
        <is>
          <t>動作確認（検証プラン）</t>
        </is>
      </c>
      <c r="L43" s="10" t="inlineStr">
        <is>
          <t>フローC</t>
        </is>
      </c>
      <c r="M43" s="10" t="inlineStr">
        <is>
          <t>OP-219</t>
        </is>
      </c>
      <c r="N43" s="13" t="inlineStr"/>
      <c r="O43" s="13" t="inlineStr"/>
      <c r="P43" s="13" t="inlineStr"/>
      <c r="Q43" s="13" t="inlineStr"/>
    </row>
    <row r="44">
      <c r="A44" s="10" t="inlineStr">
        <is>
          <t>M1 配布物とアップロードの入口／手入力の入口</t>
        </is>
      </c>
      <c r="B44" s="10" t="inlineStr">
        <is>
          <t>テンプレートを配れて、壊れたファイルが入口で止まり、手入力で登録できる</t>
        </is>
      </c>
      <c r="C44" s="10" t="inlineStr">
        <is>
          <t>⑥ 順序と依存</t>
        </is>
      </c>
      <c r="D44" s="10" t="inlineStr">
        <is>
          <t>AC-102</t>
        </is>
      </c>
      <c r="E44" s="15" t="inlineStr">
        <is>
          <t>リリース必須</t>
        </is>
      </c>
      <c r="F44" s="10" t="inlineStr">
        <is>
          <t>登録済みステップを再編集できる</t>
        </is>
      </c>
      <c r="G44" s="10" t="inlineStr">
        <is>
          <t>登録済みステップを開くと再編集モードで開き、追加登録できる（開けない件数＝0件）</t>
        </is>
      </c>
      <c r="H44" s="10" t="inlineStr">
        <is>
          <t>入力を間違えたときに戻れず、最初からやり直しになる</t>
        </is>
      </c>
      <c r="I44" s="14" t="inlineStr">
        <is>
          <t>1</t>
        </is>
      </c>
      <c r="J44" s="10" t="inlineStr">
        <is>
          <t>初期セットアップ</t>
        </is>
      </c>
      <c r="K44" s="10" t="inlineStr">
        <is>
          <t>動作確認（検証プラン）</t>
        </is>
      </c>
      <c r="L44" s="10" t="inlineStr">
        <is>
          <t>owner-mock §5.3</t>
        </is>
      </c>
      <c r="M44" s="10" t="inlineStr">
        <is>
          <t>OP-023</t>
        </is>
      </c>
      <c r="N44" s="13" t="inlineStr"/>
      <c r="O44" s="13" t="inlineStr"/>
      <c r="P44" s="13" t="inlineStr"/>
      <c r="Q44" s="13" t="inlineStr"/>
    </row>
    <row r="45">
      <c r="A45" s="10" t="inlineStr">
        <is>
          <t>M1 配布物とアップロードの入口／手入力の入口</t>
        </is>
      </c>
      <c r="B45" s="10" t="inlineStr">
        <is>
          <t>テンプレートを配れて、壊れたファイルが入口で止まり、手入力で登録できる</t>
        </is>
      </c>
      <c r="C45" s="10" t="inlineStr">
        <is>
          <t>⑩ 入口と戻り先</t>
        </is>
      </c>
      <c r="D45" s="10" t="inlineStr">
        <is>
          <t>AC-104</t>
        </is>
      </c>
      <c r="E45" s="15" t="inlineStr">
        <is>
          <t>リリース必須</t>
        </is>
      </c>
      <c r="F45" s="10" t="inlineStr">
        <is>
          <t>モードによって登録後の誘導が変わる</t>
        </is>
      </c>
      <c r="G45" s="10" t="inlineStr">
        <is>
          <t>新規登録モード＝中央CTAモーダル。運用更新モード＝右上トースト（8秒）</t>
        </is>
      </c>
      <c r="H45" s="10" t="inlineStr">
        <is>
          <t>運用中に中央モーダルが出ると作業が止まる。初期にトーストだと次へ進めず離脱する</t>
        </is>
      </c>
      <c r="I45" s="14" t="inlineStr">
        <is>
          <t>1 / 3</t>
        </is>
      </c>
      <c r="J45" s="10" t="inlineStr">
        <is>
          <t>初期セットアップ／各設定画面</t>
        </is>
      </c>
      <c r="K45" s="10" t="inlineStr">
        <is>
          <t>動作確認（検証プラン）</t>
        </is>
      </c>
      <c r="L45" s="10" t="inlineStr">
        <is>
          <t>owner-mock §6</t>
        </is>
      </c>
      <c r="M45" s="10" t="inlineStr">
        <is>
          <t>OP-024 / OP-029</t>
        </is>
      </c>
      <c r="N45" s="13" t="inlineStr"/>
      <c r="O45" s="13" t="inlineStr"/>
      <c r="P45" s="13" t="inlineStr"/>
      <c r="Q45" s="13" t="inlineStr"/>
    </row>
    <row r="46">
      <c r="A46" s="10" t="inlineStr">
        <is>
          <t>M1 配布物とアップロードの入口／手入力の入口</t>
        </is>
      </c>
      <c r="B46" s="10" t="inlineStr">
        <is>
          <t>テンプレートを配れて、壊れたファイルが入口で止まり、手入力で登録できる</t>
        </is>
      </c>
      <c r="C46" s="10" t="inlineStr">
        <is>
          <t>⑥ 順序と依存</t>
        </is>
      </c>
      <c r="D46" s="10" t="inlineStr">
        <is>
          <t>AC-110</t>
        </is>
      </c>
      <c r="E46" s="15" t="inlineStr">
        <is>
          <t>リリース必須</t>
        </is>
      </c>
      <c r="F46" s="10" t="inlineStr">
        <is>
          <t>業態は名前を入力して作成する</t>
        </is>
      </c>
      <c r="G46" s="10" t="inlineStr">
        <is>
          <t>業態名がテキスト入力である（プルダウンでの選択のみ＝不合格。テキスト入力欄＝1個）</t>
        </is>
      </c>
      <c r="H46" s="10" t="inlineStr">
        <is>
          <t>CSVテンプレート①と食い違い、経路によって作れるデータが変わる</t>
        </is>
      </c>
      <c r="I46" s="14" t="inlineStr">
        <is>
          <t>1</t>
        </is>
      </c>
      <c r="J46" s="10" t="inlineStr">
        <is>
          <t>業態設定</t>
        </is>
      </c>
      <c r="K46" s="10" t="inlineStr">
        <is>
          <t>実装レビュー（登録モーダル）</t>
        </is>
      </c>
      <c r="L46" s="10" t="inlineStr">
        <is>
          <t>owner-mock §3.4.2／README §1.2</t>
        </is>
      </c>
      <c r="M46" s="10" t="inlineStr">
        <is>
          <t>OP-030</t>
        </is>
      </c>
      <c r="N46" s="13" t="inlineStr"/>
      <c r="O46" s="13" t="inlineStr"/>
      <c r="P46" s="13" t="inlineStr"/>
      <c r="Q46" s="13" t="inlineStr"/>
    </row>
    <row r="47">
      <c r="A47" s="10" t="inlineStr">
        <is>
          <t>M1 配布物とアップロードの入口／手入力の入口</t>
        </is>
      </c>
      <c r="B47" s="10" t="inlineStr">
        <is>
          <t>テンプレートを配れて、壊れたファイルが入口で止まり、手入力で登録できる</t>
        </is>
      </c>
      <c r="C47" s="10" t="inlineStr">
        <is>
          <t>⑤ 判定を隠さない</t>
        </is>
      </c>
      <c r="D47" s="10" t="inlineStr">
        <is>
          <t>AC-111</t>
        </is>
      </c>
      <c r="E47" s="15" t="inlineStr">
        <is>
          <t>リリース必須</t>
        </is>
      </c>
      <c r="F47" s="10" t="inlineStr">
        <is>
          <t>初期セットアップの進捗が見える</t>
        </is>
      </c>
      <c r="G47" s="10" t="inlineStr">
        <is>
          <t>完了ステップ数（0〜4）と各ステップの登録件数が表示される（表示されない項目＝0件）</t>
        </is>
      </c>
      <c r="H47" s="10" t="inlineStr">
        <is>
          <t>残りが分からず離脱する</t>
        </is>
      </c>
      <c r="I47" s="14" t="inlineStr">
        <is>
          <t>1</t>
        </is>
      </c>
      <c r="J47" s="10" t="inlineStr">
        <is>
          <t>初期セットアップ</t>
        </is>
      </c>
      <c r="K47" s="10" t="inlineStr">
        <is>
          <t>動作確認（検証プラン）</t>
        </is>
      </c>
      <c r="L47" s="10" t="inlineStr">
        <is>
          <t>owner-mock §5.1</t>
        </is>
      </c>
      <c r="M47" s="10" t="inlineStr">
        <is>
          <t>OP-033</t>
        </is>
      </c>
      <c r="N47" s="13" t="inlineStr"/>
      <c r="O47" s="13" t="inlineStr"/>
      <c r="P47" s="13" t="inlineStr"/>
      <c r="Q47" s="13" t="inlineStr"/>
    </row>
    <row r="48">
      <c r="A48" s="10" t="inlineStr">
        <is>
          <t>M1 配布物とアップロードの入口／手入力の入口</t>
        </is>
      </c>
      <c r="B48" s="10" t="inlineStr">
        <is>
          <t>テンプレートを配れて、壊れたファイルが入口で止まり、手入力で登録できる</t>
        </is>
      </c>
      <c r="C48" s="10" t="inlineStr">
        <is>
          <t>⑩ 入口と戻り先</t>
        </is>
      </c>
      <c r="D48" s="10" t="inlineStr">
        <is>
          <t>AC-006</t>
        </is>
      </c>
      <c r="E48" s="17" t="inlineStr">
        <is>
          <t>改善</t>
        </is>
      </c>
      <c r="F48" s="10" t="inlineStr">
        <is>
          <t>インポート方式を再設定できる</t>
        </is>
      </c>
      <c r="G48" s="10" t="inlineStr">
        <is>
          <t>トップから方式を選び直せる（選び直せない＝不合格。再設定の成功＝1回で可）</t>
        </is>
      </c>
      <c r="H48" s="10" t="inlineStr">
        <is>
          <t>方式を選び直せず、間違えるとやり直しになる</t>
        </is>
      </c>
      <c r="I48" s="16" t="inlineStr">
        <is>
          <t>4</t>
        </is>
      </c>
      <c r="J48" s="10" t="inlineStr">
        <is>
          <t>業態設定→インポート</t>
        </is>
      </c>
      <c r="K48" s="10" t="inlineStr">
        <is>
          <t>動作確認（検証プラン）</t>
        </is>
      </c>
      <c r="L48" s="10" t="inlineStr">
        <is>
          <t>README §9</t>
        </is>
      </c>
      <c r="M48" s="10" t="inlineStr">
        <is>
          <t>OP-008</t>
        </is>
      </c>
      <c r="N48" s="13" t="inlineStr"/>
      <c r="O48" s="13" t="inlineStr"/>
      <c r="P48" s="13" t="inlineStr"/>
      <c r="Q48" s="13" t="inlineStr"/>
    </row>
    <row r="49">
      <c r="A49" s="10" t="inlineStr">
        <is>
          <t>M2 プレビューと判定／登録モーダル</t>
        </is>
      </c>
      <c r="B49" s="10" t="inlineStr">
        <is>
          <t>取り込む前に件数と誤りが見え、登録モーダルが新規と編集で出し分けられる</t>
        </is>
      </c>
      <c r="C49" s="10" t="inlineStr">
        <is>
          <t>⑦ 値の妥当性</t>
        </is>
      </c>
      <c r="D49" s="10" t="inlineStr">
        <is>
          <t>AC-015</t>
        </is>
      </c>
      <c r="E49" s="11" t="inlineStr">
        <is>
          <t>MVP必須</t>
        </is>
      </c>
      <c r="F49" s="10" t="inlineStr">
        <is>
          <t>給与体系は時給・月給のみ</t>
        </is>
      </c>
      <c r="G49" s="10" t="inlineStr">
        <is>
          <t>給与体系「日給」の行＝エラー。取り込まれた件数＝0件</t>
        </is>
      </c>
      <c r="H49" s="10" t="inlineStr">
        <is>
          <t>**DB制約違反で登録が落ちる。** enumは時給・月給の2値</t>
        </is>
      </c>
      <c r="I49" s="12" t="inlineStr">
        <is>
          <t>2</t>
        </is>
      </c>
      <c r="J49" s="10" t="inlineStr">
        <is>
          <t>プレビュー</t>
        </is>
      </c>
      <c r="K49" s="10" t="inlineStr">
        <is>
          <t>動作確認（検証プラン）</t>
        </is>
      </c>
      <c r="L49" s="10" t="inlineStr">
        <is>
          <t>README §0.5／§8.10</t>
        </is>
      </c>
      <c r="M49" s="10" t="inlineStr">
        <is>
          <t>OP-218</t>
        </is>
      </c>
      <c r="N49" s="13" t="inlineStr"/>
      <c r="O49" s="13" t="inlineStr"/>
      <c r="P49" s="13" t="inlineStr"/>
      <c r="Q49" s="13" t="inlineStr"/>
    </row>
    <row r="50">
      <c r="A50" s="10" t="inlineStr">
        <is>
          <t>M2 プレビューと判定／登録モーダル</t>
        </is>
      </c>
      <c r="B50" s="10" t="inlineStr">
        <is>
          <t>取り込む前に件数と誤りが見え、登録モーダルが新規と編集で出し分けられる</t>
        </is>
      </c>
      <c r="C50" s="10" t="inlineStr">
        <is>
          <t>⑤ 判定を隠さない</t>
        </is>
      </c>
      <c r="D50" s="10" t="inlineStr">
        <is>
          <t>AC-021</t>
        </is>
      </c>
      <c r="E50" s="11" t="inlineStr">
        <is>
          <t>MVP必須</t>
        </is>
      </c>
      <c r="F50" s="10" t="inlineStr">
        <is>
          <t>取り込み前に内容と判定を確認できる</t>
        </is>
      </c>
      <c r="G50" s="10" t="inlineStr">
        <is>
          <t>新規6・更新2・エラー2と表示され、実行ボタンは「8件をインポート」と出る</t>
        </is>
      </c>
      <c r="H50" s="10" t="inlineStr">
        <is>
          <t>**何が登録されるか分からないまま実行させることになる。** プレビューがこの機能の要</t>
        </is>
      </c>
      <c r="I50" s="12" t="inlineStr">
        <is>
          <t>2</t>
        </is>
      </c>
      <c r="J50" s="10" t="inlineStr">
        <is>
          <t>プレビュー</t>
        </is>
      </c>
      <c r="K50" s="10" t="inlineStr">
        <is>
          <t>動作確認（検証プラン）</t>
        </is>
      </c>
      <c r="L50" s="10" t="inlineStr">
        <is>
          <t>フローA【2】</t>
        </is>
      </c>
      <c r="M50" s="10" t="inlineStr">
        <is>
          <t>CA-051</t>
        </is>
      </c>
      <c r="N50" s="13" t="inlineStr"/>
      <c r="O50" s="13" t="inlineStr"/>
      <c r="P50" s="13" t="inlineStr"/>
      <c r="Q50" s="13" t="inlineStr"/>
    </row>
    <row r="51">
      <c r="A51" s="10" t="inlineStr">
        <is>
          <t>M2 プレビューと判定／登録モーダル</t>
        </is>
      </c>
      <c r="B51" s="10" t="inlineStr">
        <is>
          <t>取り込む前に件数と誤りが見え、登録モーダルが新規と編集で出し分けられる</t>
        </is>
      </c>
      <c r="C51" s="10" t="inlineStr">
        <is>
          <t>⑤ 判定を隠さない</t>
        </is>
      </c>
      <c r="D51" s="10" t="inlineStr">
        <is>
          <t>AC-022</t>
        </is>
      </c>
      <c r="E51" s="11" t="inlineStr">
        <is>
          <t>MVP必須</t>
        </is>
      </c>
      <c r="F51" s="10" t="inlineStr">
        <is>
          <t>エラー行が理由とともに分かる</t>
        </is>
      </c>
      <c r="G51" s="10" t="inlineStr">
        <is>
          <t>エラー行すべてに理由が表示される（理由が空のエラー行＝0件）</t>
        </is>
      </c>
      <c r="H51" s="10" t="inlineStr">
        <is>
          <t>**なぜ取り込めないのか分からず、顧客が問い合わせる**</t>
        </is>
      </c>
      <c r="I51" s="12" t="inlineStr">
        <is>
          <t>2</t>
        </is>
      </c>
      <c r="J51" s="10" t="inlineStr">
        <is>
          <t>プレビュー</t>
        </is>
      </c>
      <c r="K51" s="10" t="inlineStr">
        <is>
          <t>動作確認（検証プラン）</t>
        </is>
      </c>
      <c r="L51" s="10" t="inlineStr">
        <is>
          <t>フローC</t>
        </is>
      </c>
      <c r="M51" s="10" t="inlineStr">
        <is>
          <t>OP-303 / OP-304</t>
        </is>
      </c>
      <c r="N51" s="13" t="inlineStr"/>
      <c r="O51" s="13" t="inlineStr"/>
      <c r="P51" s="13" t="inlineStr"/>
      <c r="Q51" s="13" t="inlineStr"/>
    </row>
    <row r="52">
      <c r="A52" s="10" t="inlineStr">
        <is>
          <t>M2 プレビューと判定／登録モーダル</t>
        </is>
      </c>
      <c r="B52" s="10" t="inlineStr">
        <is>
          <t>取り込む前に件数と誤りが見え、登録モーダルが新規と編集で出し分けられる</t>
        </is>
      </c>
      <c r="C52" s="10" t="inlineStr">
        <is>
          <t>② 取り返しがつく</t>
        </is>
      </c>
      <c r="D52" s="10" t="inlineStr">
        <is>
          <t>AC-023</t>
        </is>
      </c>
      <c r="E52" s="11" t="inlineStr">
        <is>
          <t>MVP必須</t>
        </is>
      </c>
      <c r="F52" s="10" t="inlineStr">
        <is>
          <t>プレビューのエラー行を画面で編集させない</t>
        </is>
      </c>
      <c r="G52" s="10" t="inlineStr">
        <is>
          <t>エラー行に編集ボタン＝0個。修正はCSVのみ</t>
        </is>
      </c>
      <c r="H52" s="10" t="inlineStr">
        <is>
          <t>**画面で直すと元CSVに残らず再発する。** プレビューが編集画面になり状態管理が跳ね上がる（J-029）</t>
        </is>
      </c>
      <c r="I52" s="12" t="inlineStr">
        <is>
          <t>2</t>
        </is>
      </c>
      <c r="J52" s="10" t="inlineStr">
        <is>
          <t>プレビュー</t>
        </is>
      </c>
      <c r="K52" s="10" t="inlineStr">
        <is>
          <t>動作確認（検証プラン）</t>
        </is>
      </c>
      <c r="L52" s="10" t="inlineStr">
        <is>
          <t>**設計の背骨①**／仕様書 4.1</t>
        </is>
      </c>
      <c r="M52" s="10" t="inlineStr">
        <is>
          <t>OP-303</t>
        </is>
      </c>
      <c r="N52" s="13" t="inlineStr"/>
      <c r="O52" s="13" t="inlineStr"/>
      <c r="P52" s="13" t="inlineStr"/>
      <c r="Q52" s="13" t="inlineStr"/>
    </row>
    <row r="53">
      <c r="A53" s="10" t="inlineStr">
        <is>
          <t>M2 プレビューと判定／登録モーダル</t>
        </is>
      </c>
      <c r="B53" s="10" t="inlineStr">
        <is>
          <t>取り込む前に件数と誤りが見え、登録モーダルが新規と編集で出し分けられる</t>
        </is>
      </c>
      <c r="C53" s="10" t="inlineStr">
        <is>
          <t>② 取り返しがつく</t>
        </is>
      </c>
      <c r="D53" s="10" t="inlineStr">
        <is>
          <t>AC-024</t>
        </is>
      </c>
      <c r="E53" s="11" t="inlineStr">
        <is>
          <t>MVP必須</t>
        </is>
      </c>
      <c r="F53" s="10" t="inlineStr">
        <is>
          <t>エラー行をCSVで取り出せる</t>
        </is>
      </c>
      <c r="G53" s="10" t="inlineStr">
        <is>
          <t>元テンプレートと同じ列＋末尾に「エラー理由」列のファイルが落ちる／エラーが解消され、全件が取り込める状態になる／成功7・失敗1と表示される。取り込まなかった2行も表示される。失敗行CSVは1行</t>
        </is>
      </c>
      <c r="H53" s="10" t="inlineStr">
        <is>
          <t>**エラー行を直す手段が無くなる。** 30人中1人の誤りで全体が止まる</t>
        </is>
      </c>
      <c r="I53" s="12" t="inlineStr">
        <is>
          <t>2</t>
        </is>
      </c>
      <c r="J53" s="10" t="inlineStr">
        <is>
          <t>プレビュー / 完了</t>
        </is>
      </c>
      <c r="K53" s="10" t="inlineStr">
        <is>
          <t>動作確認（検証プラン）</t>
        </is>
      </c>
      <c r="L53" s="10" t="inlineStr">
        <is>
          <t>フローC</t>
        </is>
      </c>
      <c r="M53" s="10" t="inlineStr">
        <is>
          <t>OP-306 / OP-307 / CA-053</t>
        </is>
      </c>
      <c r="N53" s="13" t="inlineStr"/>
      <c r="O53" s="13" t="inlineStr"/>
      <c r="P53" s="13" t="inlineStr"/>
      <c r="Q53" s="13" t="inlineStr"/>
    </row>
    <row r="54">
      <c r="A54" s="10" t="inlineStr">
        <is>
          <t>M2 プレビューと判定／登録モーダル</t>
        </is>
      </c>
      <c r="B54" s="10" t="inlineStr">
        <is>
          <t>取り込む前に件数と誤りが見え、登録モーダルが新規と編集で出し分けられる</t>
        </is>
      </c>
      <c r="C54" s="10" t="inlineStr">
        <is>
          <t>③ 同じ人を二重に作らない</t>
        </is>
      </c>
      <c r="D54" s="10" t="inlineStr">
        <is>
          <t>AC-025</t>
        </is>
      </c>
      <c r="E54" s="11" t="inlineStr">
        <is>
          <t>MVP必須</t>
        </is>
      </c>
      <c r="F54" s="10" t="inlineStr">
        <is>
          <t>管理者の判定が自動で行われる</t>
        </is>
      </c>
      <c r="G54" s="10" t="inlineStr">
        <is>
          <t>4パターン投入 → 新規登録1・権限付与1・差し替え1・スキップ1に振り分けられる（誤判定＝0件）</t>
        </is>
      </c>
      <c r="H54" s="10" t="inlineStr">
        <is>
          <t>**店長のアカウントが2つできる。** 打刻の記録が分断され、給与計算が合わなくなる</t>
        </is>
      </c>
      <c r="I54" s="12" t="inlineStr">
        <is>
          <t>2</t>
        </is>
      </c>
      <c r="J54" s="10" t="inlineStr">
        <is>
          <t>プレビュー</t>
        </is>
      </c>
      <c r="K54" s="10" t="inlineStr">
        <is>
          <t>動作確認（検証プラン）</t>
        </is>
      </c>
      <c r="L54" s="10" t="inlineStr">
        <is>
          <t>**設計の背骨④**／フローD</t>
        </is>
      </c>
      <c r="M54" s="10" t="inlineStr">
        <is>
          <t>OP-308</t>
        </is>
      </c>
      <c r="N54" s="13" t="inlineStr"/>
      <c r="O54" s="13" t="inlineStr"/>
      <c r="P54" s="13" t="inlineStr"/>
      <c r="Q54" s="13" t="inlineStr"/>
    </row>
    <row r="55">
      <c r="A55" s="10" t="inlineStr">
        <is>
          <t>M2 プレビューと判定／登録モーダル</t>
        </is>
      </c>
      <c r="B55" s="10" t="inlineStr">
        <is>
          <t>取り込む前に件数と誤りが見え、登録モーダルが新規と編集で出し分けられる</t>
        </is>
      </c>
      <c r="C55" s="10" t="inlineStr">
        <is>
          <t>① データを壊さない</t>
        </is>
      </c>
      <c r="D55" s="10" t="inlineStr">
        <is>
          <t>AC-035</t>
        </is>
      </c>
      <c r="E55" s="11" t="inlineStr">
        <is>
          <t>MVP必須</t>
        </is>
      </c>
      <c r="F55" s="10" t="inlineStr">
        <is>
          <t>退職者と同じコードはエラー</t>
        </is>
      </c>
      <c r="G55" s="10" t="inlineStr">
        <is>
          <t>退職者と同じコードの行＝エラー。取り込まれた件数＝0件</t>
        </is>
      </c>
      <c r="H55" s="10" t="inlineStr">
        <is>
          <t>**退職者が勝手に復活する。** 給与計算と打刻に退職者が混ざる</t>
        </is>
      </c>
      <c r="I55" s="12" t="inlineStr">
        <is>
          <t>2</t>
        </is>
      </c>
      <c r="J55" s="10" t="inlineStr">
        <is>
          <t>プレビュー</t>
        </is>
      </c>
      <c r="K55" s="10" t="inlineStr">
        <is>
          <t>動作確認（検証プラン）</t>
        </is>
      </c>
      <c r="L55" s="10" t="inlineStr">
        <is>
          <t>README §8.4</t>
        </is>
      </c>
      <c r="M55" s="10" t="inlineStr">
        <is>
          <t>OP-310</t>
        </is>
      </c>
      <c r="N55" s="13" t="inlineStr"/>
      <c r="O55" s="13" t="inlineStr"/>
      <c r="P55" s="13" t="inlineStr"/>
      <c r="Q55" s="13" t="inlineStr"/>
    </row>
    <row r="56">
      <c r="A56" s="10" t="inlineStr">
        <is>
          <t>M2 プレビューと判定／登録モーダル</t>
        </is>
      </c>
      <c r="B56" s="10" t="inlineStr">
        <is>
          <t>取り込む前に件数と誤りが見え、登録モーダルが新規と編集で出し分けられる</t>
        </is>
      </c>
      <c r="C56" s="10" t="inlineStr">
        <is>
          <t>⑦ 値の妥当性</t>
        </is>
      </c>
      <c r="D56" s="10" t="inlineStr">
        <is>
          <t>AC-091</t>
        </is>
      </c>
      <c r="E56" s="11" t="inlineStr">
        <is>
          <t>MVP必須</t>
        </is>
      </c>
      <c r="F56" s="10" t="inlineStr">
        <is>
          <t>金額の範囲が守られる</t>
        </is>
      </c>
      <c r="G56" s="10" t="inlineStr">
        <is>
          <t>0はエラー（1以上）。99999999.99は登録できる。100000000はエラー</t>
        </is>
      </c>
      <c r="H56" s="10" t="inlineStr">
        <is>
          <t>**0円や桁溢れがDBに入る。** 給与計算が壊れる</t>
        </is>
      </c>
      <c r="I56" s="12" t="inlineStr">
        <is>
          <t>2 / 4</t>
        </is>
      </c>
      <c r="J56" s="10" t="inlineStr">
        <is>
          <t>プレビュー</t>
        </is>
      </c>
      <c r="K56" s="10" t="inlineStr">
        <is>
          <t>動作確認（検証プラン）</t>
        </is>
      </c>
      <c r="L56" s="10" t="inlineStr">
        <is>
          <t>README §4.5-2</t>
        </is>
      </c>
      <c r="M56" s="10" t="inlineStr">
        <is>
          <t>CA-016</t>
        </is>
      </c>
      <c r="N56" s="13" t="inlineStr"/>
      <c r="O56" s="13" t="inlineStr"/>
      <c r="P56" s="13" t="inlineStr"/>
      <c r="Q56" s="13" t="inlineStr"/>
    </row>
    <row r="57">
      <c r="A57" s="10" t="inlineStr">
        <is>
          <t>M2 プレビューと判定／登録モーダル</t>
        </is>
      </c>
      <c r="B57" s="10" t="inlineStr">
        <is>
          <t>取り込む前に件数と誤りが見え、登録モーダルが新規と編集で出し分けられる</t>
        </is>
      </c>
      <c r="C57" s="10" t="inlineStr">
        <is>
          <t>⑦ 値の妥当性</t>
        </is>
      </c>
      <c r="D57" s="10" t="inlineStr">
        <is>
          <t>AC-093</t>
        </is>
      </c>
      <c r="E57" s="11" t="inlineStr">
        <is>
          <t>MVP必須</t>
        </is>
      </c>
      <c r="F57" s="10" t="inlineStr">
        <is>
          <t>文字数の上限が守られる</t>
        </is>
      </c>
      <c r="G57" s="10" t="inlineStr">
        <is>
          <t>100文字は登録できる。101文字はエラー／いずれもエラーになり、列名と上限がメッセージに出る</t>
        </is>
      </c>
      <c r="H57" s="10" t="inlineStr">
        <is>
          <t>**DBの桁を超えて登録に失敗する。** どの行かも分からない</t>
        </is>
      </c>
      <c r="I57" s="12" t="inlineStr">
        <is>
          <t>2 / 4</t>
        </is>
      </c>
      <c r="J57" s="10" t="inlineStr">
        <is>
          <t>従業員一覧 / プレビュー</t>
        </is>
      </c>
      <c r="K57" s="10" t="inlineStr">
        <is>
          <t>動作確認（検証プラン）</t>
        </is>
      </c>
      <c r="L57" s="10" t="inlineStr">
        <is>
          <t>README §4.5-4</t>
        </is>
      </c>
      <c r="M57" s="10" t="inlineStr">
        <is>
          <t>CA-031 / CA-033</t>
        </is>
      </c>
      <c r="N57" s="13" t="inlineStr"/>
      <c r="O57" s="13" t="inlineStr"/>
      <c r="P57" s="13" t="inlineStr"/>
      <c r="Q57" s="13" t="inlineStr"/>
    </row>
    <row r="58">
      <c r="A58" s="10" t="inlineStr">
        <is>
          <t>M2 プレビューと判定／登録モーダル</t>
        </is>
      </c>
      <c r="B58" s="10" t="inlineStr">
        <is>
          <t>取り込む前に件数と誤りが見え、登録モーダルが新規と編集で出し分けられる</t>
        </is>
      </c>
      <c r="C58" s="10" t="inlineStr">
        <is>
          <t>⑦ 値の妥当性</t>
        </is>
      </c>
      <c r="D58" s="10" t="inlineStr">
        <is>
          <t>AC-094</t>
        </is>
      </c>
      <c r="E58" s="11" t="inlineStr">
        <is>
          <t>MVP必須</t>
        </is>
      </c>
      <c r="F58" s="10" t="inlineStr">
        <is>
          <t>形式チェックが働く</t>
        </is>
      </c>
      <c r="G58" s="10" t="inlineStr">
        <is>
          <t>エラー行として赤く表示され、「メールアドレスの形式が正しくありません」と理由が出る。取り込まれない／前2つは登録できる。3つ目はエラー／全角ハイフンは半角に正規化される。英字混じりはエラー</t>
        </is>
      </c>
      <c r="H58" s="10" t="inlineStr">
        <is>
          <t>**誤ったメールアドレスに招待が飛ぶ。** 本人はログインできない</t>
        </is>
      </c>
      <c r="I58" s="12" t="inlineStr">
        <is>
          <t>2 / 4</t>
        </is>
      </c>
      <c r="J58" s="10" t="inlineStr">
        <is>
          <t>プレビュー / 店舗設定 / 従業員一覧</t>
        </is>
      </c>
      <c r="K58" s="10" t="inlineStr">
        <is>
          <t>動作確認（検証プラン）</t>
        </is>
      </c>
      <c r="L58" s="10" t="inlineStr">
        <is>
          <t>README §4.5</t>
        </is>
      </c>
      <c r="M58" s="10" t="inlineStr">
        <is>
          <t>CA-036 / CA-041 / CA-044</t>
        </is>
      </c>
      <c r="N58" s="13" t="inlineStr"/>
      <c r="O58" s="13" t="inlineStr"/>
      <c r="P58" s="13" t="inlineStr"/>
      <c r="Q58" s="13" t="inlineStr"/>
    </row>
    <row r="59">
      <c r="A59" s="10" t="inlineStr">
        <is>
          <t>M2 プレビューと判定／登録モーダル</t>
        </is>
      </c>
      <c r="B59" s="10" t="inlineStr">
        <is>
          <t>取り込む前に件数と誤りが見え、登録モーダルが新規と編集で出し分けられる</t>
        </is>
      </c>
      <c r="C59" s="10" t="inlineStr">
        <is>
          <t>⑨ 手入力との分担</t>
        </is>
      </c>
      <c r="D59" s="10" t="inlineStr">
        <is>
          <t>AC-105</t>
        </is>
      </c>
      <c r="E59" s="11" t="inlineStr">
        <is>
          <t>MVP必須</t>
        </is>
      </c>
      <c r="F59" s="10" t="inlineStr">
        <is>
          <t>登録モーダルが新規と編集で出し分けられる</t>
        </is>
      </c>
      <c r="G59" s="10" t="inlineStr">
        <is>
          <t>新規＝空1行・複数行追加あり・一時保存あり・主ボタン「登録（N件）」／編集＝プリフィル・複数行なし・一時保存なし・主ボタン「更新」（食い違い＝0件）</t>
        </is>
      </c>
      <c r="H59" s="10" t="inlineStr">
        <is>
          <t>**編集で開いたのに前回の入力が残る、または新規で開いたのに既存が出る。** 誤ったデータを上書きする</t>
        </is>
      </c>
      <c r="I59" s="14" t="inlineStr">
        <is>
          <t>1 / 3</t>
        </is>
      </c>
      <c r="J59" s="10" t="inlineStr">
        <is>
          <t>各設定画面</t>
        </is>
      </c>
      <c r="K59" s="10" t="inlineStr">
        <is>
          <t>動作確認（検証プラン）</t>
        </is>
      </c>
      <c r="L59" s="10" t="inlineStr">
        <is>
          <t>owner-mock §3.4.2</t>
        </is>
      </c>
      <c r="M59" s="10" t="inlineStr">
        <is>
          <t>OP-027</t>
        </is>
      </c>
      <c r="N59" s="13" t="inlineStr"/>
      <c r="O59" s="13" t="inlineStr"/>
      <c r="P59" s="13" t="inlineStr"/>
      <c r="Q59" s="13" t="inlineStr"/>
    </row>
    <row r="60">
      <c r="A60" s="10" t="inlineStr">
        <is>
          <t>M2 プレビューと判定／登録モーダル</t>
        </is>
      </c>
      <c r="B60" s="10" t="inlineStr">
        <is>
          <t>取り込む前に件数と誤りが見え、登録モーダルが新規と編集で出し分けられる</t>
        </is>
      </c>
      <c r="C60" s="10" t="inlineStr">
        <is>
          <t>⑥ 順序と依存</t>
        </is>
      </c>
      <c r="D60" s="10" t="inlineStr">
        <is>
          <t>AC-106</t>
        </is>
      </c>
      <c r="E60" s="11" t="inlineStr">
        <is>
          <t>MVP必須</t>
        </is>
      </c>
      <c r="F60" s="10" t="inlineStr">
        <is>
          <t>マスタ参照のプルダウンが登録済みから生成される</t>
        </is>
      </c>
      <c r="G60" s="10" t="inlineStr">
        <is>
          <t>登録すると選択肢に出現し、削除すると消える（削除後に残る件数＝0件）</t>
        </is>
      </c>
      <c r="H60" s="10" t="inlineStr">
        <is>
          <t>**未登録の業態や店舗を選べてしまい、存在しない参照ができる。** または登録したのに選べない</t>
        </is>
      </c>
      <c r="I60" s="14" t="inlineStr">
        <is>
          <t>1</t>
        </is>
      </c>
      <c r="J60" s="10" t="inlineStr">
        <is>
          <t>各設定画面</t>
        </is>
      </c>
      <c r="K60" s="10" t="inlineStr">
        <is>
          <t>動作確認（検証プラン）</t>
        </is>
      </c>
      <c r="L60" s="10" t="inlineStr">
        <is>
          <t>owner-mock §3.4.3</t>
        </is>
      </c>
      <c r="M60" s="10" t="inlineStr">
        <is>
          <t>OP-026</t>
        </is>
      </c>
      <c r="N60" s="13" t="inlineStr"/>
      <c r="O60" s="13" t="inlineStr"/>
      <c r="P60" s="13" t="inlineStr"/>
      <c r="Q60" s="13" t="inlineStr"/>
    </row>
    <row r="61">
      <c r="A61" s="10" t="inlineStr">
        <is>
          <t>M2 プレビューと判定／登録モーダル</t>
        </is>
      </c>
      <c r="B61" s="10" t="inlineStr">
        <is>
          <t>取り込む前に件数と誤りが見え、登録モーダルが新規と編集で出し分けられる</t>
        </is>
      </c>
      <c r="C61" s="10" t="inlineStr">
        <is>
          <t>② 取り返しがつく</t>
        </is>
      </c>
      <c r="D61" s="10" t="inlineStr">
        <is>
          <t>AC-114</t>
        </is>
      </c>
      <c r="E61" s="11" t="inlineStr">
        <is>
          <t>MVP必須</t>
        </is>
      </c>
      <c r="F61" s="10" t="inlineStr">
        <is>
          <t>セットアップ中に取り込み直せる</t>
        </is>
      </c>
      <c r="G61" s="10" t="inlineStr">
        <is>
          <t>エラー行を直して再アップロードすると受理され、取り込める（やり直しになった回数＝0回）</t>
        </is>
      </c>
      <c r="H61" s="10" t="inlineStr">
        <is>
          <t>**導入作業の途中で誤りに気づいても直せない。** 最初からやり直しになり、導入で離脱する</t>
        </is>
      </c>
      <c r="I61" s="12" t="inlineStr">
        <is>
          <t>2 / 4</t>
        </is>
      </c>
      <c r="J61" s="10" t="inlineStr">
        <is>
          <t>プレビュー／アップロード</t>
        </is>
      </c>
      <c r="K61" s="10" t="inlineStr">
        <is>
          <t>動作確認（検証プラン）</t>
        </is>
      </c>
      <c r="L61" s="10" t="inlineStr">
        <is>
          <t>フローC／フローH／仕様書「新規登録と運用更新の違い」</t>
        </is>
      </c>
      <c r="M61" s="10" t="inlineStr">
        <is>
          <t>OP-306 / OP-307 / OP-219</t>
        </is>
      </c>
      <c r="N61" s="13" t="inlineStr"/>
      <c r="O61" s="13" t="inlineStr"/>
      <c r="P61" s="13" t="inlineStr"/>
      <c r="Q61" s="13" t="inlineStr"/>
    </row>
    <row r="62">
      <c r="A62" s="10" t="inlineStr">
        <is>
          <t>M2 プレビューと判定／登録モーダル</t>
        </is>
      </c>
      <c r="B62" s="10" t="inlineStr">
        <is>
          <t>取り込む前に件数と誤りが見え、登録モーダルが新規と編集で出し分けられる</t>
        </is>
      </c>
      <c r="C62" s="10" t="inlineStr">
        <is>
          <t>⑥ 順序と依存</t>
        </is>
      </c>
      <c r="D62" s="10" t="inlineStr">
        <is>
          <t>AC-027</t>
        </is>
      </c>
      <c r="E62" s="15" t="inlineStr">
        <is>
          <t>リリース必須</t>
        </is>
      </c>
      <c r="F62" s="10" t="inlineStr">
        <is>
          <t>設定マスタの重複が自動で除外される</t>
        </is>
      </c>
      <c r="G62" s="10" t="inlineStr">
        <is>
          <t>重複が自動で除外され、1件として登録される／3件として登録される</t>
        </is>
      </c>
      <c r="H62" s="10" t="inlineStr">
        <is>
          <t>同じ業態が2件登録され、以後の参照が壊れる</t>
        </is>
      </c>
      <c r="I62" s="12" t="inlineStr">
        <is>
          <t>2</t>
        </is>
      </c>
      <c r="J62" s="10" t="inlineStr">
        <is>
          <t>プレビュー / 業態設定</t>
        </is>
      </c>
      <c r="K62" s="10" t="inlineStr">
        <is>
          <t>動作確認（検証プラン）</t>
        </is>
      </c>
      <c r="L62" s="10" t="inlineStr">
        <is>
          <t>README §4.1</t>
        </is>
      </c>
      <c r="M62" s="10" t="inlineStr">
        <is>
          <t>OP-108 / CA-056</t>
        </is>
      </c>
      <c r="N62" s="13" t="inlineStr"/>
      <c r="O62" s="13" t="inlineStr"/>
      <c r="P62" s="13" t="inlineStr"/>
      <c r="Q62" s="13" t="inlineStr"/>
    </row>
    <row r="63">
      <c r="A63" s="10" t="inlineStr">
        <is>
          <t>M2 プレビューと判定／登録モーダル</t>
        </is>
      </c>
      <c r="B63" s="10" t="inlineStr">
        <is>
          <t>取り込む前に件数と誤りが見え、登録モーダルが新規と編集で出し分けられる</t>
        </is>
      </c>
      <c r="C63" s="10" t="inlineStr">
        <is>
          <t>⑥ 順序と依存</t>
        </is>
      </c>
      <c r="D63" s="10" t="inlineStr">
        <is>
          <t>AC-028</t>
        </is>
      </c>
      <c r="E63" s="15" t="inlineStr">
        <is>
          <t>リリース必須</t>
        </is>
      </c>
      <c r="F63" s="10" t="inlineStr">
        <is>
          <t>名称の突合が一意でない場合はエラー</t>
        </is>
      </c>
      <c r="G63" s="10" t="inlineStr">
        <is>
          <t>DB側に同名の業態が2件ある状態で取り込む → その行＝エラー（誤って紐づく件数＝0件）</t>
        </is>
      </c>
      <c r="H63" s="10" t="inlineStr">
        <is>
          <t>同名の業態のどちらに紐づくか不定になり、店舗が誤った業態に入る</t>
        </is>
      </c>
      <c r="I63" s="12" t="inlineStr">
        <is>
          <t>2</t>
        </is>
      </c>
      <c r="J63" s="10" t="inlineStr">
        <is>
          <t>プレビュー</t>
        </is>
      </c>
      <c r="K63" s="10" t="inlineStr">
        <is>
          <t>動作確認（検証プラン）</t>
        </is>
      </c>
      <c r="L63" s="10" t="inlineStr">
        <is>
          <t>README §4.5-6</t>
        </is>
      </c>
      <c r="M63" s="10" t="inlineStr">
        <is>
          <t>OP-312</t>
        </is>
      </c>
      <c r="N63" s="13" t="inlineStr"/>
      <c r="O63" s="13" t="inlineStr"/>
      <c r="P63" s="13" t="inlineStr"/>
      <c r="Q63" s="13" t="inlineStr"/>
    </row>
    <row r="64">
      <c r="A64" s="10" t="inlineStr">
        <is>
          <t>M2 プレビューと判定／登録モーダル</t>
        </is>
      </c>
      <c r="B64" s="10" t="inlineStr">
        <is>
          <t>取り込む前に件数と誤りが見え、登録モーダルが新規と編集で出し分けられる</t>
        </is>
      </c>
      <c r="C64" s="10" t="inlineStr">
        <is>
          <t>⑦ 値の妥当性</t>
        </is>
      </c>
      <c r="D64" s="10" t="inlineStr">
        <is>
          <t>AC-029</t>
        </is>
      </c>
      <c r="E64" s="15" t="inlineStr">
        <is>
          <t>リリース必須</t>
        </is>
      </c>
      <c r="F64" s="10" t="inlineStr">
        <is>
          <t>④従業員の店舗名は単一である（複数はエラー）</t>
        </is>
      </c>
      <c r="G64" s="10" t="inlineStr">
        <is>
          <t>④のCSVに「渋谷店,新宿店」と書いた行はエラーになる（取り込まれた件数＝0件）。2店舗目は取り込み後に従業員一覧から追加して所属＝2件になる</t>
        </is>
      </c>
      <c r="H64" s="10" t="inlineStr">
        <is>
          <t>複数店舗を書いて取り込めず、原因が分からない</t>
        </is>
      </c>
      <c r="I64" s="12" t="inlineStr">
        <is>
          <t>2 / 3</t>
        </is>
      </c>
      <c r="J64" s="10" t="inlineStr">
        <is>
          <t>プレビュー / 従業員一覧</t>
        </is>
      </c>
      <c r="K64" s="10" t="inlineStr">
        <is>
          <t>動作確認（検証プラン）</t>
        </is>
      </c>
      <c r="L64" s="10" t="inlineStr">
        <is>
          <t>README §8.3</t>
        </is>
      </c>
      <c r="M64" s="10" t="inlineStr">
        <is>
          <t>OP-311 / OP-608</t>
        </is>
      </c>
      <c r="N64" s="13" t="inlineStr"/>
      <c r="O64" s="13" t="inlineStr"/>
      <c r="P64" s="13" t="inlineStr"/>
      <c r="Q64" s="13" t="inlineStr"/>
    </row>
    <row r="65">
      <c r="A65" s="10" t="inlineStr">
        <is>
          <t>M2 プレビューと判定／登録モーダル</t>
        </is>
      </c>
      <c r="B65" s="10" t="inlineStr">
        <is>
          <t>取り込む前に件数と誤りが見え、登録モーダルが新規と編集で出し分けられる</t>
        </is>
      </c>
      <c r="C65" s="10" t="inlineStr">
        <is>
          <t>⑦ 値の妥当性</t>
        </is>
      </c>
      <c r="D65" s="10" t="inlineStr">
        <is>
          <t>AC-030</t>
        </is>
      </c>
      <c r="E65" s="15" t="inlineStr">
        <is>
          <t>リリース必須</t>
        </is>
      </c>
      <c r="F65" s="10" t="inlineStr">
        <is>
          <t>金額が正しく解釈される</t>
        </is>
      </c>
      <c r="G65" s="10" t="inlineStr">
        <is>
          <t>どちらも 200000 として登録される／エラー。「金額は半角数字で入力してください」</t>
        </is>
      </c>
      <c r="H65" s="10" t="inlineStr">
        <is>
          <t>「200,000」がエラーになり、顧客が原因を特定できない</t>
        </is>
      </c>
      <c r="I65" s="12" t="inlineStr">
        <is>
          <t>2 / 4</t>
        </is>
      </c>
      <c r="J65" s="10" t="inlineStr">
        <is>
          <t>雇用区分設定 / プレビュー</t>
        </is>
      </c>
      <c r="K65" s="10" t="inlineStr">
        <is>
          <t>動作確認（検証プラン）</t>
        </is>
      </c>
      <c r="L65" s="10" t="inlineStr">
        <is>
          <t>README §4.5-3</t>
        </is>
      </c>
      <c r="M65" s="10" t="inlineStr">
        <is>
          <t>CA-014 / CA-015</t>
        </is>
      </c>
      <c r="N65" s="13" t="inlineStr"/>
      <c r="O65" s="13" t="inlineStr"/>
      <c r="P65" s="13" t="inlineStr"/>
      <c r="Q65" s="13" t="inlineStr"/>
    </row>
    <row r="66">
      <c r="A66" s="10" t="inlineStr">
        <is>
          <t>M2 プレビューと判定／登録モーダル</t>
        </is>
      </c>
      <c r="B66" s="10" t="inlineStr">
        <is>
          <t>取り込む前に件数と誤りが見え、登録モーダルが新規と編集で出し分けられる</t>
        </is>
      </c>
      <c r="C66" s="10" t="inlineStr">
        <is>
          <t>⑦ 値の妥当性</t>
        </is>
      </c>
      <c r="D66" s="10" t="inlineStr">
        <is>
          <t>AC-092</t>
        </is>
      </c>
      <c r="E66" s="15" t="inlineStr">
        <is>
          <t>リリース必須</t>
        </is>
      </c>
      <c r="F66" s="10" t="inlineStr">
        <is>
          <t>時間の範囲が守られる</t>
        </is>
      </c>
      <c r="G66" s="10" t="inlineStr">
        <is>
          <t>0と1000はエラー。160は登録できる／0と999は登録できる。1000はエラー。「20時間」は単位付きのためエラー</t>
        </is>
      </c>
      <c r="H66" s="10" t="inlineStr">
        <is>
          <t>契約労働時間0で登録され、残業計算が破綻する</t>
        </is>
      </c>
      <c r="I66" s="12" t="inlineStr">
        <is>
          <t>2 / 4</t>
        </is>
      </c>
      <c r="J66" s="10" t="inlineStr">
        <is>
          <t>プレビュー / 雇用区分設定</t>
        </is>
      </c>
      <c r="K66" s="10" t="inlineStr">
        <is>
          <t>動作確認（検証プラン）</t>
        </is>
      </c>
      <c r="L66" s="10" t="inlineStr">
        <is>
          <t>README §4.5-3</t>
        </is>
      </c>
      <c r="M66" s="10" t="inlineStr">
        <is>
          <t>CA-021 / CA-024</t>
        </is>
      </c>
      <c r="N66" s="13" t="inlineStr"/>
      <c r="O66" s="13" t="inlineStr"/>
      <c r="P66" s="13" t="inlineStr"/>
      <c r="Q66" s="13" t="inlineStr"/>
    </row>
    <row r="67">
      <c r="A67" s="10" t="inlineStr">
        <is>
          <t>M2 プレビューと判定／登録モーダル</t>
        </is>
      </c>
      <c r="B67" s="10" t="inlineStr">
        <is>
          <t>取り込む前に件数と誤りが見え、登録モーダルが新規と編集で出し分けられる</t>
        </is>
      </c>
      <c r="C67" s="10" t="inlineStr">
        <is>
          <t>⑤ 判定を隠さない</t>
        </is>
      </c>
      <c r="D67" s="10" t="inlineStr">
        <is>
          <t>AC-026</t>
        </is>
      </c>
      <c r="E67" s="17" t="inlineStr">
        <is>
          <t>改善</t>
        </is>
      </c>
      <c r="F67" s="10" t="inlineStr">
        <is>
          <t>①〜③と④⑤でタブの役割が異なる</t>
        </is>
      </c>
      <c r="G67" s="10" t="inlineStr">
        <is>
          <t>①〜③＝種別タブ、④⑤＝判定タブ。タブ構成の取り違え＝0件</t>
        </is>
      </c>
      <c r="H67" s="10" t="inlineStr">
        <is>
          <t>タブの役割が種別と判定で混在し、読み違える</t>
        </is>
      </c>
      <c r="I67" s="12" t="inlineStr">
        <is>
          <t>2</t>
        </is>
      </c>
      <c r="J67" s="10" t="inlineStr">
        <is>
          <t>プレビュー</t>
        </is>
      </c>
      <c r="K67" s="10" t="inlineStr">
        <is>
          <t>動作確認（検証プラン）</t>
        </is>
      </c>
      <c r="L67" s="10" t="inlineStr">
        <is>
          <t>仕様書 7.2</t>
        </is>
      </c>
      <c r="M67" s="10" t="inlineStr">
        <is>
          <t>OP-301</t>
        </is>
      </c>
      <c r="N67" s="13" t="inlineStr"/>
      <c r="O67" s="13" t="inlineStr"/>
      <c r="P67" s="13" t="inlineStr"/>
      <c r="Q67" s="13" t="inlineStr"/>
    </row>
    <row r="68">
      <c r="A68" s="10" t="inlineStr">
        <is>
          <t>M2 プレビューと判定／登録モーダル</t>
        </is>
      </c>
      <c r="B68" s="10" t="inlineStr">
        <is>
          <t>取り込む前に件数と誤りが見え、登録モーダルが新規と編集で出し分けられる</t>
        </is>
      </c>
      <c r="C68" s="10" t="inlineStr">
        <is>
          <t>⑥ 順序と依存</t>
        </is>
      </c>
      <c r="D68" s="10" t="inlineStr">
        <is>
          <t>AC-036</t>
        </is>
      </c>
      <c r="E68" s="17" t="inlineStr">
        <is>
          <t>改善</t>
        </is>
      </c>
      <c r="F68" s="10" t="inlineStr">
        <is>
          <t>名称突合で前後空白が無視される</t>
        </is>
      </c>
      <c r="G68" s="10" t="inlineStr">
        <is>
          <t>「 飲食店 」（前後空白）で取り込む → 引き当て成功。エラー＝0件</t>
        </is>
      </c>
      <c r="H68" s="10" t="inlineStr">
        <is>
          <t>前後の空白で引き当てに失敗する。Excelの貼り付けで頻出</t>
        </is>
      </c>
      <c r="I68" s="12" t="inlineStr">
        <is>
          <t>2</t>
        </is>
      </c>
      <c r="J68" s="10" t="inlineStr">
        <is>
          <t>プレビュー</t>
        </is>
      </c>
      <c r="K68" s="10" t="inlineStr">
        <is>
          <t>動作確認（検証プラン）</t>
        </is>
      </c>
      <c r="L68" s="10" t="inlineStr">
        <is>
          <t>README §4.5-6</t>
        </is>
      </c>
      <c r="M68" s="10" t="inlineStr">
        <is>
          <t>OP-312</t>
        </is>
      </c>
      <c r="N68" s="13" t="inlineStr"/>
      <c r="O68" s="13" t="inlineStr"/>
      <c r="P68" s="13" t="inlineStr"/>
      <c r="Q68" s="13" t="inlineStr"/>
    </row>
    <row r="69">
      <c r="A69" s="10" t="inlineStr">
        <is>
          <t>M2 プレビューと判定／登録モーダル</t>
        </is>
      </c>
      <c r="B69" s="10" t="inlineStr">
        <is>
          <t>取り込む前に件数と誤りが見え、登録モーダルが新規と編集で出し分けられる</t>
        </is>
      </c>
      <c r="C69" s="10" t="inlineStr">
        <is>
          <t>⑤ 判定を隠さない</t>
        </is>
      </c>
      <c r="D69" s="10" t="inlineStr">
        <is>
          <t>AC-037</t>
        </is>
      </c>
      <c r="E69" s="17" t="inlineStr">
        <is>
          <t>改善</t>
        </is>
      </c>
      <c r="F69" s="10" t="inlineStr">
        <is>
          <t>判定の凡例が邪魔をしない</t>
        </is>
      </c>
      <c r="G69" s="10" t="inlineStr">
        <is>
          <t>「判定の見方」が既定で閉じている（開いた状態で表示される画面＝0件）</t>
        </is>
      </c>
      <c r="H69" s="10" t="inlineStr">
        <is>
          <t>凡例が常時出て一覧が読みにくい</t>
        </is>
      </c>
      <c r="I69" s="12" t="inlineStr">
        <is>
          <t>2</t>
        </is>
      </c>
      <c r="J69" s="10" t="inlineStr">
        <is>
          <t>プレビュー</t>
        </is>
      </c>
      <c r="K69" s="10" t="inlineStr">
        <is>
          <t>動作確認（検証プラン）</t>
        </is>
      </c>
      <c r="L69" s="10" t="inlineStr">
        <is>
          <t>仕様書 4.2</t>
        </is>
      </c>
      <c r="M69" s="10" t="inlineStr">
        <is>
          <t>OP-308</t>
        </is>
      </c>
      <c r="N69" s="13" t="inlineStr"/>
      <c r="O69" s="13" t="inlineStr"/>
      <c r="P69" s="13" t="inlineStr"/>
      <c r="Q69" s="13" t="inlineStr"/>
    </row>
    <row r="70">
      <c r="A70" s="10" t="inlineStr">
        <is>
          <t>M3 実行と完了</t>
        </is>
      </c>
      <c r="B70" s="10" t="inlineStr">
        <is>
          <t>二重登録されず失敗行が残らない。手入力とCSVの両方で通しで導入が完了する</t>
        </is>
      </c>
      <c r="C70" s="10" t="inlineStr">
        <is>
          <t>⑤ 判定を隠さない</t>
        </is>
      </c>
      <c r="D70" s="10" t="inlineStr">
        <is>
          <t>AC-032</t>
        </is>
      </c>
      <c r="E70" s="11" t="inlineStr">
        <is>
          <t>MVP必須</t>
        </is>
      </c>
      <c r="F70" s="10" t="inlineStr">
        <is>
          <t>二重に実行されない</t>
        </is>
      </c>
      <c r="G70" s="10" t="inlineStr">
        <is>
          <t>ボタンを5回連打 → 登録された件数＝1回分（重複登録＝0件）</t>
        </is>
      </c>
      <c r="H70" s="10" t="inlineStr">
        <is>
          <t>**二重登録される。** 取り返しがつかない</t>
        </is>
      </c>
      <c r="I70" s="12" t="inlineStr">
        <is>
          <t>2</t>
        </is>
      </c>
      <c r="J70" s="10" t="inlineStr">
        <is>
          <t>実行中</t>
        </is>
      </c>
      <c r="K70" s="10" t="inlineStr">
        <is>
          <t>動作確認（検証プラン）</t>
        </is>
      </c>
      <c r="L70" s="10" t="inlineStr">
        <is>
          <t>README §9.1</t>
        </is>
      </c>
      <c r="M70" s="10" t="inlineStr">
        <is>
          <t>OP-401</t>
        </is>
      </c>
      <c r="N70" s="13" t="inlineStr"/>
      <c r="O70" s="13" t="inlineStr"/>
      <c r="P70" s="13" t="inlineStr"/>
      <c r="Q70" s="13" t="inlineStr"/>
    </row>
    <row r="71">
      <c r="A71" s="10" t="inlineStr">
        <is>
          <t>M3 実行と完了</t>
        </is>
      </c>
      <c r="B71" s="10" t="inlineStr">
        <is>
          <t>二重登録されず失敗行が残らない。手入力とCSVの両方で通しで導入が完了する</t>
        </is>
      </c>
      <c r="C71" s="10" t="inlineStr">
        <is>
          <t>⑤ 判定を隠さない</t>
        </is>
      </c>
      <c r="D71" s="10" t="inlineStr">
        <is>
          <t>AC-042</t>
        </is>
      </c>
      <c r="E71" s="11" t="inlineStr">
        <is>
          <t>MVP必須</t>
        </is>
      </c>
      <c r="F71" s="10" t="inlineStr">
        <is>
          <t>取り込まれなかった行が分かる</t>
        </is>
      </c>
      <c r="G71" s="10" t="inlineStr">
        <is>
          <t>完了画面に「取り込まなかった行（N件）」が表示され、除外理由が分かる／成功7・失敗1と表示される。取り込まなかった2行も表示される。失敗行CSVは1行</t>
        </is>
      </c>
      <c r="H71" s="10" t="inlineStr">
        <is>
          <t>**除外した行を忘れる。** 登録されたつもりで運用が始まる</t>
        </is>
      </c>
      <c r="I71" s="12" t="inlineStr">
        <is>
          <t>2</t>
        </is>
      </c>
      <c r="J71" s="10" t="inlineStr">
        <is>
          <t>完了</t>
        </is>
      </c>
      <c r="K71" s="10" t="inlineStr">
        <is>
          <t>動作確認（検証プラン）</t>
        </is>
      </c>
      <c r="L71" s="10" t="inlineStr">
        <is>
          <t>README §7.7</t>
        </is>
      </c>
      <c r="M71" s="10" t="inlineStr">
        <is>
          <t>OP-502 / CA-053</t>
        </is>
      </c>
      <c r="N71" s="13" t="inlineStr"/>
      <c r="O71" s="13" t="inlineStr"/>
      <c r="P71" s="13" t="inlineStr"/>
      <c r="Q71" s="13" t="inlineStr"/>
    </row>
    <row r="72">
      <c r="A72" s="10" t="inlineStr">
        <is>
          <t>M3 実行と完了</t>
        </is>
      </c>
      <c r="B72" s="10" t="inlineStr">
        <is>
          <t>二重登録されず失敗行が残らない。手入力とCSVの両方で通しで導入が完了する</t>
        </is>
      </c>
      <c r="C72" s="10" t="inlineStr">
        <is>
          <t>② 取り返しがつく</t>
        </is>
      </c>
      <c r="D72" s="10" t="inlineStr">
        <is>
          <t>AC-043</t>
        </is>
      </c>
      <c r="E72" s="11" t="inlineStr">
        <is>
          <t>MVP必須</t>
        </is>
      </c>
      <c r="F72" s="10" t="inlineStr">
        <is>
          <t>失敗行をCSVで回収できる</t>
        </is>
      </c>
      <c r="G72" s="10" t="inlineStr">
        <is>
          <t>失敗した行だけが落ちる。文字化けせず、失敗理由の列が付いている／成功7・失敗1と表示される。取り込まなかった2行も表示される。失敗行CSVは1行</t>
        </is>
      </c>
      <c r="H72" s="10" t="inlineStr">
        <is>
          <t>**失敗した行が分からず回収できない。** どれが登録されたか顧客が追えない</t>
        </is>
      </c>
      <c r="I72" s="12" t="inlineStr">
        <is>
          <t>2</t>
        </is>
      </c>
      <c r="J72" s="10" t="inlineStr">
        <is>
          <t>完了</t>
        </is>
      </c>
      <c r="K72" s="10" t="inlineStr">
        <is>
          <t>動作確認（検証プラン）</t>
        </is>
      </c>
      <c r="L72" s="10" t="inlineStr">
        <is>
          <t>フローC／README §7.7</t>
        </is>
      </c>
      <c r="M72" s="10" t="inlineStr">
        <is>
          <t>OP-503 / CA-053</t>
        </is>
      </c>
      <c r="N72" s="13" t="inlineStr"/>
      <c r="O72" s="13" t="inlineStr"/>
      <c r="P72" s="13" t="inlineStr"/>
      <c r="Q72" s="13" t="inlineStr"/>
    </row>
    <row r="73">
      <c r="A73" s="10" t="inlineStr">
        <is>
          <t>M3 実行と完了</t>
        </is>
      </c>
      <c r="B73" s="10" t="inlineStr">
        <is>
          <t>二重登録されず失敗行が残らない。手入力とCSVの両方で通しで導入が完了する</t>
        </is>
      </c>
      <c r="C73" s="10" t="inlineStr">
        <is>
          <t>① データを壊さない</t>
        </is>
      </c>
      <c r="D73" s="10" t="inlineStr">
        <is>
          <t>AC-044</t>
        </is>
      </c>
      <c r="E73" s="11" t="inlineStr">
        <is>
          <t>MVP必須</t>
        </is>
      </c>
      <c r="F73" s="10" t="inlineStr">
        <is>
          <t>失敗した行がDBに残らない</t>
        </is>
      </c>
      <c r="G73" s="10" t="inlineStr">
        <is>
          <t>部分成功後、失敗した行のレコード数＝0件。失敗行CSVの行数＝失敗件数と一致</t>
        </is>
      </c>
      <c r="H73" s="10" t="inlineStr">
        <is>
          <t>**中途半端なレコードがDBに残る。** 招待も届かず、再取り込みもできない幽霊データになる</t>
        </is>
      </c>
      <c r="I73" s="12" t="inlineStr">
        <is>
          <t>2</t>
        </is>
      </c>
      <c r="J73" s="10" t="inlineStr">
        <is>
          <t>完了</t>
        </is>
      </c>
      <c r="K73" s="10" t="inlineStr">
        <is>
          <t>動作確認＋DB確認</t>
        </is>
      </c>
      <c r="L73" s="10" t="inlineStr">
        <is>
          <t>**設計の背骨②**／README §7.7</t>
        </is>
      </c>
      <c r="M73" s="10" t="inlineStr">
        <is>
          <t>OP-503</t>
        </is>
      </c>
      <c r="N73" s="13" t="inlineStr"/>
      <c r="O73" s="13" t="inlineStr"/>
      <c r="P73" s="13" t="inlineStr"/>
      <c r="Q73" s="13" t="inlineStr"/>
    </row>
    <row r="74">
      <c r="A74" s="10" t="inlineStr">
        <is>
          <t>M3 実行と完了</t>
        </is>
      </c>
      <c r="B74" s="10" t="inlineStr">
        <is>
          <t>二重登録されず失敗行が残らない。手入力とCSVの両方で通しで導入が完了する</t>
        </is>
      </c>
      <c r="C74" s="10" t="inlineStr">
        <is>
          <t>⓪ 導入が通しで完了する</t>
        </is>
      </c>
      <c r="D74" s="10" t="inlineStr">
        <is>
          <t>AC-077</t>
        </is>
      </c>
      <c r="E74" s="11" t="inlineStr">
        <is>
          <t>MVP必須</t>
        </is>
      </c>
      <c r="F74" s="10" t="inlineStr">
        <is>
          <t>①〜⑤を通しで取り込み、打刻を始められる状態になる</t>
        </is>
      </c>
      <c r="G74" s="10" t="inlineStr">
        <is>
          <t>5種別すべてが登録され、招待メールが届き、従業員が打刻画面に到達できる</t>
        </is>
      </c>
      <c r="H74" s="10" t="inlineStr">
        <is>
          <t>**個々の条件が合格でも、通しで完了しなければこの機能の価値が出ない。** 導入の障壁を下げるための機能であり、途中で止まれば意味がない</t>
        </is>
      </c>
      <c r="I74" s="12" t="inlineStr">
        <is>
          <t>2</t>
        </is>
      </c>
      <c r="J74" s="10" t="inlineStr">
        <is>
          <t>全画面（通し）</t>
        </is>
      </c>
      <c r="K74" s="10" t="inlineStr">
        <is>
          <t>動作確認（検証プラン）</t>
        </is>
      </c>
      <c r="L74" s="10" t="inlineStr">
        <is>
          <t>仕様書 1.1 何を解決しているか</t>
        </is>
      </c>
      <c r="M74" s="10" t="inlineStr">
        <is>
          <t>OP-620</t>
        </is>
      </c>
      <c r="N74" s="13" t="inlineStr"/>
      <c r="O74" s="13" t="inlineStr"/>
      <c r="P74" s="13" t="inlineStr"/>
      <c r="Q74" s="13" t="inlineStr"/>
    </row>
    <row r="75">
      <c r="A75" s="10" t="inlineStr">
        <is>
          <t>M3 実行と完了</t>
        </is>
      </c>
      <c r="B75" s="10" t="inlineStr">
        <is>
          <t>二重登録されず失敗行が残らない。手入力とCSVの両方で通しで導入が完了する</t>
        </is>
      </c>
      <c r="C75" s="10" t="inlineStr">
        <is>
          <t>⓪ 導入が通しで完了する</t>
        </is>
      </c>
      <c r="D75" s="10" t="inlineStr">
        <is>
          <t>AC-108</t>
        </is>
      </c>
      <c r="E75" s="11" t="inlineStr">
        <is>
          <t>MVP必須</t>
        </is>
      </c>
      <c r="F75" s="10" t="inlineStr">
        <is>
          <t>手入力だけで初期セットアップを完了できる</t>
        </is>
      </c>
      <c r="G75" s="10" t="inlineStr">
        <is>
          <t>CSVを使わず①〜④を登録し、4項目完了・運用更新モードへ切替・招待メール送信までできる</t>
        </is>
      </c>
      <c r="H75" s="10" t="inlineStr">
        <is>
          <t>**CSVを使わない顧客がセルフスタートできない。** 導入の障壁を下げる機能として成立しない</t>
        </is>
      </c>
      <c r="I75" s="14" t="inlineStr">
        <is>
          <t>1</t>
        </is>
      </c>
      <c r="J75" s="10" t="inlineStr">
        <is>
          <t>初期セットアップ（通し）</t>
        </is>
      </c>
      <c r="K75" s="10" t="inlineStr">
        <is>
          <t>動作確認（検証プラン）</t>
        </is>
      </c>
      <c r="L75" s="10" t="inlineStr">
        <is>
          <t>owner-mock §3.3／仕様書 1.1</t>
        </is>
      </c>
      <c r="M75" s="10" t="inlineStr">
        <is>
          <t>OP-031</t>
        </is>
      </c>
      <c r="N75" s="13" t="inlineStr"/>
      <c r="O75" s="13" t="inlineStr"/>
      <c r="P75" s="13" t="inlineStr"/>
      <c r="Q75" s="13" t="inlineStr"/>
    </row>
    <row r="76">
      <c r="A76" s="10" t="inlineStr">
        <is>
          <t>M3 実行と完了</t>
        </is>
      </c>
      <c r="B76" s="10" t="inlineStr">
        <is>
          <t>二重登録されず失敗行が残らない。手入力とCSVの両方で通しで導入が完了する</t>
        </is>
      </c>
      <c r="C76" s="10" t="inlineStr">
        <is>
          <t>③ 同じ人を二重に作らない</t>
        </is>
      </c>
      <c r="D76" s="10" t="inlineStr">
        <is>
          <t>AC-109</t>
        </is>
      </c>
      <c r="E76" s="11" t="inlineStr">
        <is>
          <t>MVP必須</t>
        </is>
      </c>
      <c r="F76" s="10" t="inlineStr">
        <is>
          <t>同じメールアドレスで二重に招待されない</t>
        </is>
      </c>
      <c r="G76" s="10" t="inlineStr">
        <is>
          <t>従業員と管理者の両方で登録しても招待メール＝1通（2通目＝0通）。1アカウントに両方の権限が付く</t>
        </is>
      </c>
      <c r="H76" s="10" t="inlineStr">
        <is>
          <t>**同じ人に2通の招待が届き、パスワード設定URLが2つできる。** 利用者が混乱し、アカウントが分裂する</t>
        </is>
      </c>
      <c r="I76" s="14" t="inlineStr">
        <is>
          <t>1 / 3</t>
        </is>
      </c>
      <c r="J76" s="10" t="inlineStr">
        <is>
          <t>従業員一覧／管理者一覧／メール</t>
        </is>
      </c>
      <c r="K76" s="10" t="inlineStr">
        <is>
          <t>動作確認（検証プラン）</t>
        </is>
      </c>
      <c r="L76" s="10" t="inlineStr">
        <is>
          <t>owner-mock §16 アカウント衝突回避</t>
        </is>
      </c>
      <c r="M76" s="10" t="inlineStr">
        <is>
          <t>OP-032</t>
        </is>
      </c>
      <c r="N76" s="13" t="inlineStr"/>
      <c r="O76" s="13" t="inlineStr"/>
      <c r="P76" s="13" t="inlineStr"/>
      <c r="Q76" s="13" t="inlineStr"/>
    </row>
    <row r="77">
      <c r="A77" s="10" t="inlineStr">
        <is>
          <t>M3 実行と完了</t>
        </is>
      </c>
      <c r="B77" s="10" t="inlineStr">
        <is>
          <t>二重登録されず失敗行が残らない。手入力とCSVの両方で通しで導入が完了する</t>
        </is>
      </c>
      <c r="C77" s="10" t="inlineStr">
        <is>
          <t>⑤ 判定を隠さない</t>
        </is>
      </c>
      <c r="D77" s="10" t="inlineStr">
        <is>
          <t>AC-031</t>
        </is>
      </c>
      <c r="E77" s="15" t="inlineStr">
        <is>
          <t>リリース必須</t>
        </is>
      </c>
      <c r="F77" s="10" t="inlineStr">
        <is>
          <t>実行中であることが分かる</t>
        </is>
      </c>
      <c r="G77" s="10" t="inlineStr">
        <is>
          <t>実行中に進捗が表示される（進捗が出ない実行＝0件）</t>
        </is>
      </c>
      <c r="H77" s="10" t="inlineStr">
        <is>
          <t>固まったと思って離脱・再実行される</t>
        </is>
      </c>
      <c r="I77" s="12" t="inlineStr">
        <is>
          <t>2</t>
        </is>
      </c>
      <c r="J77" s="10" t="inlineStr">
        <is>
          <t>実行中</t>
        </is>
      </c>
      <c r="K77" s="10" t="inlineStr">
        <is>
          <t>動作確認（検証プラン）</t>
        </is>
      </c>
      <c r="L77" s="10" t="inlineStr">
        <is>
          <t>README §9.1</t>
        </is>
      </c>
      <c r="M77" s="10" t="inlineStr">
        <is>
          <t>OP-401</t>
        </is>
      </c>
      <c r="N77" s="13" t="inlineStr"/>
      <c r="O77" s="13" t="inlineStr"/>
      <c r="P77" s="13" t="inlineStr"/>
      <c r="Q77" s="13" t="inlineStr"/>
    </row>
    <row r="78">
      <c r="A78" s="10" t="inlineStr">
        <is>
          <t>M3 実行と完了</t>
        </is>
      </c>
      <c r="B78" s="10" t="inlineStr">
        <is>
          <t>二重登録されず失敗行が残らない。手入力とCSVの両方で通しで導入が完了する</t>
        </is>
      </c>
      <c r="C78" s="10" t="inlineStr">
        <is>
          <t>④ 入口で止める</t>
        </is>
      </c>
      <c r="D78" s="10" t="inlineStr">
        <is>
          <t>AC-033</t>
        </is>
      </c>
      <c r="E78" s="15" t="inlineStr">
        <is>
          <t>リリース必須</t>
        </is>
      </c>
      <c r="F78" s="10" t="inlineStr">
        <is>
          <t>0件では実行できない</t>
        </is>
      </c>
      <c r="G78" s="10" t="inlineStr">
        <is>
          <t>実行ボタンが押せない状態になり「取り込めるデータが1件もありません」と表示される／新規6・更新2・エラー2と表示され、実行ボタンは「8件をインポート」と出る</t>
        </is>
      </c>
      <c r="H78" s="10" t="inlineStr">
        <is>
          <t>0件で実行でき、「完了」と出て顧客が混乱する</t>
        </is>
      </c>
      <c r="I78" s="12" t="inlineStr">
        <is>
          <t>2</t>
        </is>
      </c>
      <c r="J78" s="10" t="inlineStr">
        <is>
          <t>プレビュー</t>
        </is>
      </c>
      <c r="K78" s="10" t="inlineStr">
        <is>
          <t>動作確認（検証プラン）</t>
        </is>
      </c>
      <c r="L78" s="10" t="inlineStr">
        <is>
          <t>README §9.4</t>
        </is>
      </c>
      <c r="M78" s="10" t="inlineStr">
        <is>
          <t>OP-404 / CA-051</t>
        </is>
      </c>
      <c r="N78" s="13" t="inlineStr"/>
      <c r="O78" s="13" t="inlineStr"/>
      <c r="P78" s="13" t="inlineStr"/>
      <c r="Q78" s="13" t="inlineStr"/>
    </row>
    <row r="79">
      <c r="A79" s="10" t="inlineStr">
        <is>
          <t>M3 実行と完了</t>
        </is>
      </c>
      <c r="B79" s="10" t="inlineStr">
        <is>
          <t>二重登録されず失敗行が残らない。手入力とCSVの両方で通しで導入が完了する</t>
        </is>
      </c>
      <c r="C79" s="10" t="inlineStr">
        <is>
          <t>⑤ 判定を隠さない</t>
        </is>
      </c>
      <c r="D79" s="10" t="inlineStr">
        <is>
          <t>AC-041</t>
        </is>
      </c>
      <c r="E79" s="15" t="inlineStr">
        <is>
          <t>リリース必須</t>
        </is>
      </c>
      <c r="F79" s="10" t="inlineStr">
        <is>
          <t>結果が件数で分かる</t>
        </is>
      </c>
      <c r="G79" s="10" t="inlineStr">
        <is>
          <t>成功7・失敗1と件数が表示される。取り込まなかった2行も表示される。失敗行CSVは1行（件数の食い違い＝0件）。「次にやること」は AC-045、履歴は AC-048 で判定する</t>
        </is>
      </c>
      <c r="H79" s="10" t="inlineStr">
        <is>
          <t>成功したのか失敗したのか分からない</t>
        </is>
      </c>
      <c r="I79" s="12" t="inlineStr">
        <is>
          <t>2</t>
        </is>
      </c>
      <c r="J79" s="10" t="inlineStr">
        <is>
          <t>完了</t>
        </is>
      </c>
      <c r="K79" s="10" t="inlineStr">
        <is>
          <t>動作確認（検証プラン）</t>
        </is>
      </c>
      <c r="L79" s="10" t="inlineStr">
        <is>
          <t>フローA【4】</t>
        </is>
      </c>
      <c r="M79" s="10" t="inlineStr">
        <is>
          <t>OP-501 / CA-053</t>
        </is>
      </c>
      <c r="N79" s="13" t="inlineStr"/>
      <c r="O79" s="13" t="inlineStr"/>
      <c r="P79" s="13" t="inlineStr"/>
      <c r="Q79" s="13" t="inlineStr"/>
    </row>
    <row r="80">
      <c r="A80" s="10" t="inlineStr">
        <is>
          <t>M3 実行と完了</t>
        </is>
      </c>
      <c r="B80" s="10" t="inlineStr">
        <is>
          <t>二重登録されず失敗行が残らない。手入力とCSVの両方で通しで導入が完了する</t>
        </is>
      </c>
      <c r="C80" s="10" t="inlineStr">
        <is>
          <t>② 取り返しがつく</t>
        </is>
      </c>
      <c r="D80" s="10" t="inlineStr">
        <is>
          <t>AC-046</t>
        </is>
      </c>
      <c r="E80" s="15" t="inlineStr">
        <is>
          <t>リリース必須</t>
        </is>
      </c>
      <c r="F80" s="10" t="inlineStr">
        <is>
          <t>失敗行CSVがそのまま再アップできる形式</t>
        </is>
      </c>
      <c r="G80" s="10" t="inlineStr">
        <is>
          <t>失敗行CSVの列数＝元テンプレート＋1（理由列）。理由列を削除して再アップ → 受理される</t>
        </is>
      </c>
      <c r="H80" s="10" t="inlineStr">
        <is>
          <t>落としたCSVをそのまま直せず、手作業で作り直しになる</t>
        </is>
      </c>
      <c r="I80" s="12" t="inlineStr">
        <is>
          <t>2</t>
        </is>
      </c>
      <c r="J80" s="10" t="inlineStr">
        <is>
          <t>完了</t>
        </is>
      </c>
      <c r="K80" s="10" t="inlineStr">
        <is>
          <t>動作確認（検証プラン）</t>
        </is>
      </c>
      <c r="L80" s="10" t="inlineStr">
        <is>
          <t>フローC</t>
        </is>
      </c>
      <c r="M80" s="10" t="inlineStr">
        <is>
          <t>OP-503</t>
        </is>
      </c>
      <c r="N80" s="13" t="inlineStr"/>
      <c r="O80" s="13" t="inlineStr"/>
      <c r="P80" s="13" t="inlineStr"/>
      <c r="Q80" s="13" t="inlineStr"/>
    </row>
    <row r="81">
      <c r="A81" s="10" t="inlineStr">
        <is>
          <t>M3 実行と完了</t>
        </is>
      </c>
      <c r="B81" s="10" t="inlineStr">
        <is>
          <t>二重登録されず失敗行が残らない。手入力とCSVの両方で通しで導入が完了する</t>
        </is>
      </c>
      <c r="C81" s="10" t="inlineStr">
        <is>
          <t>⑤ 判定を隠さない</t>
        </is>
      </c>
      <c r="D81" s="10" t="inlineStr">
        <is>
          <t>AC-047</t>
        </is>
      </c>
      <c r="E81" s="15" t="inlineStr">
        <is>
          <t>リリース必須</t>
        </is>
      </c>
      <c r="F81" s="10" t="inlineStr">
        <is>
          <t>招待メールを送信できる</t>
        </is>
      </c>
      <c r="G81" s="10" t="inlineStr">
        <is>
          <t>新規登録者にのみ送信（既存者・スキップ判定者への送信＝0件）</t>
        </is>
      </c>
      <c r="H81" s="10" t="inlineStr">
        <is>
          <t>登録しても誰もログインできない</t>
        </is>
      </c>
      <c r="I81" s="12" t="inlineStr">
        <is>
          <t>2</t>
        </is>
      </c>
      <c r="J81" s="10" t="inlineStr">
        <is>
          <t>完了</t>
        </is>
      </c>
      <c r="K81" s="10" t="inlineStr">
        <is>
          <t>動作確認（検証プラン）</t>
        </is>
      </c>
      <c r="L81" s="10" t="inlineStr">
        <is>
          <t>フローA【4】</t>
        </is>
      </c>
      <c r="M81" s="10" t="inlineStr">
        <is>
          <t>OP-505</t>
        </is>
      </c>
      <c r="N81" s="13" t="inlineStr"/>
      <c r="O81" s="13" t="inlineStr"/>
      <c r="P81" s="13" t="inlineStr"/>
      <c r="Q81" s="13" t="inlineStr"/>
    </row>
    <row r="82">
      <c r="A82" s="10" t="inlineStr">
        <is>
          <t>M3 実行と完了</t>
        </is>
      </c>
      <c r="B82" s="10" t="inlineStr">
        <is>
          <t>二重登録されず失敗行が残らない。手入力とCSVの両方で通しで導入が完了する</t>
        </is>
      </c>
      <c r="C82" s="10" t="inlineStr">
        <is>
          <t>⑤ 判定を隠さない</t>
        </is>
      </c>
      <c r="D82" s="10" t="inlineStr">
        <is>
          <t>AC-034</t>
        </is>
      </c>
      <c r="E82" s="17" t="inlineStr">
        <is>
          <t>改善</t>
        </is>
      </c>
      <c r="F82" s="10" t="inlineStr">
        <is>
          <t>実行中の離脱を警告する</t>
        </is>
      </c>
      <c r="G82" s="10" t="inlineStr">
        <is>
          <t>実行中にタブを閉じようとすると警告が出る（警告なしで閉じられた回数＝0回）</t>
        </is>
      </c>
      <c r="H82" s="10" t="inlineStr">
        <is>
          <t>実行中に離脱され、途中状態になる</t>
        </is>
      </c>
      <c r="I82" s="12" t="inlineStr">
        <is>
          <t>2</t>
        </is>
      </c>
      <c r="J82" s="10" t="inlineStr">
        <is>
          <t>実行中</t>
        </is>
      </c>
      <c r="K82" s="10" t="inlineStr">
        <is>
          <t>動作確認（検証プラン）</t>
        </is>
      </c>
      <c r="L82" s="10" t="inlineStr">
        <is>
          <t>README §9.2</t>
        </is>
      </c>
      <c r="M82" s="10" t="inlineStr">
        <is>
          <t>OP-401</t>
        </is>
      </c>
      <c r="N82" s="13" t="inlineStr"/>
      <c r="O82" s="13" t="inlineStr"/>
      <c r="P82" s="13" t="inlineStr"/>
      <c r="Q82" s="13" t="inlineStr"/>
    </row>
    <row r="83">
      <c r="A83" s="10" t="inlineStr">
        <is>
          <t>M3 実行と完了</t>
        </is>
      </c>
      <c r="B83" s="10" t="inlineStr">
        <is>
          <t>二重登録されず失敗行が残らない。手入力とCSVの両方で通しで導入が完了する</t>
        </is>
      </c>
      <c r="C83" s="10" t="inlineStr">
        <is>
          <t>⑤ 判定を隠さない</t>
        </is>
      </c>
      <c r="D83" s="10" t="inlineStr">
        <is>
          <t>AC-045</t>
        </is>
      </c>
      <c r="E83" s="17" t="inlineStr">
        <is>
          <t>改善</t>
        </is>
      </c>
      <c r="F83" s="10" t="inlineStr">
        <is>
          <t>次にやることが案内される</t>
        </is>
      </c>
      <c r="G83" s="10" t="inlineStr">
        <is>
          <t>完了画面に「次にやること」が表示される（案内が出ない完了画面＝0件）</t>
        </is>
      </c>
      <c r="H83" s="10" t="inlineStr">
        <is>
          <t>次に何をすればいいか分からず、複数店舗の設定が漏れる</t>
        </is>
      </c>
      <c r="I83" s="12" t="inlineStr">
        <is>
          <t>2</t>
        </is>
      </c>
      <c r="J83" s="10" t="inlineStr">
        <is>
          <t>完了</t>
        </is>
      </c>
      <c r="K83" s="10" t="inlineStr">
        <is>
          <t>動作確認（検証プラン）</t>
        </is>
      </c>
      <c r="L83" s="10" t="inlineStr">
        <is>
          <t>README §9.7</t>
        </is>
      </c>
      <c r="M83" s="10" t="inlineStr">
        <is>
          <t>OP-501</t>
        </is>
      </c>
      <c r="N83" s="13" t="inlineStr"/>
      <c r="O83" s="13" t="inlineStr"/>
      <c r="P83" s="13" t="inlineStr"/>
      <c r="Q83" s="13" t="inlineStr"/>
    </row>
    <row r="84">
      <c r="A84" s="10" t="inlineStr">
        <is>
          <t>M3 実行と完了</t>
        </is>
      </c>
      <c r="B84" s="10" t="inlineStr">
        <is>
          <t>二重登録されず失敗行が残らない。手入力とCSVの両方で通しで導入が完了する</t>
        </is>
      </c>
      <c r="C84" s="10" t="inlineStr">
        <is>
          <t>⑤ 判定を隠さない</t>
        </is>
      </c>
      <c r="D84" s="10" t="inlineStr">
        <is>
          <t>AC-048</t>
        </is>
      </c>
      <c r="E84" s="17" t="inlineStr">
        <is>
          <t>改善</t>
        </is>
      </c>
      <c r="F84" s="10" t="inlineStr">
        <is>
          <t>インポート履歴が残る</t>
        </is>
      </c>
      <c r="G84" s="10" t="inlineStr">
        <is>
          <t>取り込み完了後、トップに履歴が1件増える</t>
        </is>
      </c>
      <c r="H84" s="10" t="inlineStr">
        <is>
          <t>いつ何を取り込んだか追えない</t>
        </is>
      </c>
      <c r="I84" s="12" t="inlineStr">
        <is>
          <t>2</t>
        </is>
      </c>
      <c r="J84" s="10" t="inlineStr">
        <is>
          <t>完了</t>
        </is>
      </c>
      <c r="K84" s="10" t="inlineStr">
        <is>
          <t>動作確認（検証プラン）</t>
        </is>
      </c>
      <c r="L84" s="10" t="inlineStr">
        <is>
          <t>README §9.6</t>
        </is>
      </c>
      <c r="M84" s="10" t="inlineStr">
        <is>
          <t>OP-501</t>
        </is>
      </c>
      <c r="N84" s="13" t="inlineStr"/>
      <c r="O84" s="13" t="inlineStr"/>
      <c r="P84" s="13" t="inlineStr"/>
      <c r="Q84" s="13" t="inlineStr"/>
    </row>
    <row r="85">
      <c r="A85" s="10" t="inlineStr">
        <is>
          <t>M4 書き込みの正しさ</t>
        </is>
      </c>
      <c r="B85" s="10" t="inlineStr">
        <is>
          <t>テンプレートの全列がDBに入り、昇格で勤務店舗が消えない</t>
        </is>
      </c>
      <c r="C85" s="10" t="inlineStr">
        <is>
          <t>⑥ 順序と依存</t>
        </is>
      </c>
      <c r="D85" s="10" t="inlineStr">
        <is>
          <t>AC-051</t>
        </is>
      </c>
      <c r="E85" s="11" t="inlineStr">
        <is>
          <t>MVP必須</t>
        </is>
      </c>
      <c r="F85" s="10" t="inlineStr">
        <is>
          <t>テンプレートの全列が反映される</t>
        </is>
      </c>
      <c r="G85" s="10" t="inlineStr">
        <is>
          <t>①〜⑤の各列が対応する設定画面に反映されている（欠落した列＝0件）。②は5列、③は6列、④は8列、⑤は3列すべて</t>
        </is>
      </c>
      <c r="H85" s="10" t="inlineStr">
        <is>
          <t>**列が取りこぼされ、登録したはずの情報が入っていない**</t>
        </is>
      </c>
      <c r="I85" s="12" t="inlineStr">
        <is>
          <t>2</t>
        </is>
      </c>
      <c r="J85" s="10" t="inlineStr">
        <is>
          <t>業態設定 / 従業員一覧 / 管理者一覧</t>
        </is>
      </c>
      <c r="K85" s="10" t="inlineStr">
        <is>
          <t>動作確認＋DB確認</t>
        </is>
      </c>
      <c r="L85" s="10" t="inlineStr">
        <is>
          <t>README §4.4</t>
        </is>
      </c>
      <c r="M85" s="10" t="inlineStr">
        <is>
          <t>OP-601 / OP-604 / OP-605 / OP-606</t>
        </is>
      </c>
      <c r="N85" s="13" t="inlineStr"/>
      <c r="O85" s="13" t="inlineStr"/>
      <c r="P85" s="13" t="inlineStr"/>
      <c r="Q85" s="13" t="inlineStr"/>
    </row>
    <row r="86">
      <c r="A86" s="10" t="inlineStr">
        <is>
          <t>M4 書き込みの正しさ</t>
        </is>
      </c>
      <c r="B86" s="10" t="inlineStr">
        <is>
          <t>テンプレートの全列がDBに入り、昇格で勤務店舗が消えない</t>
        </is>
      </c>
      <c r="C86" s="10" t="inlineStr">
        <is>
          <t>⑦ 値の妥当性</t>
        </is>
      </c>
      <c r="D86" s="10" t="inlineStr">
        <is>
          <t>AC-052</t>
        </is>
      </c>
      <c r="E86" s="11" t="inlineStr">
        <is>
          <t>MVP必須</t>
        </is>
      </c>
      <c r="F86" s="10" t="inlineStr">
        <is>
          <t>コードが自動採番される</t>
        </is>
      </c>
      <c r="G86" s="10" t="inlineStr">
        <is>
          <t>コード空欄5件 → 5件すべてに EMP- で始まるコードが付与され、重複＝0件</t>
        </is>
      </c>
      <c r="H86" s="10" t="inlineStr">
        <is>
          <t>**コードが重複してDB制約違反になる。** 全社横断でユニーク</t>
        </is>
      </c>
      <c r="I86" s="12" t="inlineStr">
        <is>
          <t>2</t>
        </is>
      </c>
      <c r="J86" s="10" t="inlineStr">
        <is>
          <t>従業員一覧</t>
        </is>
      </c>
      <c r="K86" s="10" t="inlineStr">
        <is>
          <t>動作確認＋DB確認</t>
        </is>
      </c>
      <c r="L86" s="10" t="inlineStr">
        <is>
          <t>README §8.1</t>
        </is>
      </c>
      <c r="M86" s="10" t="inlineStr">
        <is>
          <t>OP-605 / CA-071</t>
        </is>
      </c>
      <c r="N86" s="13" t="inlineStr"/>
      <c r="O86" s="13" t="inlineStr"/>
      <c r="P86" s="13" t="inlineStr"/>
      <c r="Q86" s="13" t="inlineStr"/>
    </row>
    <row r="87">
      <c r="A87" s="10" t="inlineStr">
        <is>
          <t>M4 書き込みの正しさ</t>
        </is>
      </c>
      <c r="B87" s="10" t="inlineStr">
        <is>
          <t>テンプレートの全列がDBに入り、昇格で勤務店舗が消えない</t>
        </is>
      </c>
      <c r="C87" s="10" t="inlineStr">
        <is>
          <t>① データを壊さない</t>
        </is>
      </c>
      <c r="D87" s="10" t="inlineStr">
        <is>
          <t>AC-053</t>
        </is>
      </c>
      <c r="E87" s="11" t="inlineStr">
        <is>
          <t>MVP必須</t>
        </is>
      </c>
      <c r="F87" s="10" t="inlineStr">
        <is>
          <t>昇格で勤務店舗が消えない</t>
        </is>
      </c>
      <c r="G87" s="10" t="inlineStr">
        <is>
          <t>元の2店舗の所属が維持されている／どちらも2店舗のまま。消えず、重複もしない</t>
        </is>
      </c>
      <c r="H87" s="10" t="inlineStr">
        <is>
          <t>**昇格した店長が打刻できなくなる。** 勤務店舗が消えると出退勤が記録できない</t>
        </is>
      </c>
      <c r="I87" s="12" t="inlineStr">
        <is>
          <t>2 / 4</t>
        </is>
      </c>
      <c r="J87" s="10" t="inlineStr">
        <is>
          <t>従業員一覧</t>
        </is>
      </c>
      <c r="K87" s="10" t="inlineStr">
        <is>
          <t>動作確認（検証プラン）</t>
        </is>
      </c>
      <c r="L87" s="10" t="inlineStr">
        <is>
          <t>**設計の背骨⑤**／フローD／README §7.1</t>
        </is>
      </c>
      <c r="M87" s="10" t="inlineStr">
        <is>
          <t>OP-607 / CA-061</t>
        </is>
      </c>
      <c r="N87" s="13" t="inlineStr"/>
      <c r="O87" s="13" t="inlineStr"/>
      <c r="P87" s="13" t="inlineStr"/>
      <c r="Q87" s="13" t="inlineStr"/>
    </row>
    <row r="88">
      <c r="A88" s="10" t="inlineStr">
        <is>
          <t>M4 書き込みの正しさ</t>
        </is>
      </c>
      <c r="B88" s="10" t="inlineStr">
        <is>
          <t>テンプレートの全列がDBに入り、昇格で勤務店舗が消えない</t>
        </is>
      </c>
      <c r="C88" s="10" t="inlineStr">
        <is>
          <t>③ 同じ人を二重に作らない</t>
        </is>
      </c>
      <c r="D88" s="10" t="inlineStr">
        <is>
          <t>AC-054</t>
        </is>
      </c>
      <c r="E88" s="15" t="inlineStr">
        <is>
          <t>リリース必須</t>
        </is>
      </c>
      <c r="F88" s="10" t="inlineStr">
        <is>
          <t>新規管理者の担当店舗が正しく入る</t>
        </is>
      </c>
      <c r="G88" s="10" t="inlineStr">
        <is>
          <t>既存の所属が無い人を「渋谷店,新宿店」で登録 → 担当店舗＝2件</t>
        </is>
      </c>
      <c r="H88" s="10" t="inlineStr">
        <is>
          <t>新規管理者に担当店舗が入らず、何も管理できない</t>
        </is>
      </c>
      <c r="I88" s="12" t="inlineStr">
        <is>
          <t>2 / 4</t>
        </is>
      </c>
      <c r="J88" s="10" t="inlineStr">
        <is>
          <t>管理者一覧</t>
        </is>
      </c>
      <c r="K88" s="10" t="inlineStr">
        <is>
          <t>動作確認（検証プラン）</t>
        </is>
      </c>
      <c r="L88" s="10" t="inlineStr">
        <is>
          <t>README §7.1</t>
        </is>
      </c>
      <c r="M88" s="10" t="inlineStr">
        <is>
          <t>CA-062</t>
        </is>
      </c>
      <c r="N88" s="13" t="inlineStr"/>
      <c r="O88" s="13" t="inlineStr"/>
      <c r="P88" s="13" t="inlineStr"/>
      <c r="Q88" s="13" t="inlineStr"/>
    </row>
    <row r="89">
      <c r="A89" s="10" t="inlineStr">
        <is>
          <t>M4 書き込みの正しさ</t>
        </is>
      </c>
      <c r="B89" s="10" t="inlineStr">
        <is>
          <t>テンプレートの全列がDBに入り、昇格で勤務店舗が消えない</t>
        </is>
      </c>
      <c r="C89" s="10" t="inlineStr">
        <is>
          <t>① データを壊さない</t>
        </is>
      </c>
      <c r="D89" s="10" t="inlineStr">
        <is>
          <t>AC-055</t>
        </is>
      </c>
      <c r="E89" s="15" t="inlineStr">
        <is>
          <t>リリース必須</t>
        </is>
      </c>
      <c r="F89" s="10" t="inlineStr">
        <is>
          <t>担当店舗のマージで重複しない</t>
        </is>
      </c>
      <c r="G89" s="10" t="inlineStr">
        <is>
          <t>既に渋谷店を持つ人を渋谷店で昇格 → 担当店舗＝2件のまま（重複＝0件）</t>
        </is>
      </c>
      <c r="H89" s="10" t="inlineStr">
        <is>
          <t>担当店舗が重複して増え続ける</t>
        </is>
      </c>
      <c r="I89" s="12" t="inlineStr">
        <is>
          <t>2 / 4</t>
        </is>
      </c>
      <c r="J89" s="10" t="inlineStr">
        <is>
          <t>従業員一覧</t>
        </is>
      </c>
      <c r="K89" s="10" t="inlineStr">
        <is>
          <t>動作確認（検証プラン）</t>
        </is>
      </c>
      <c r="L89" s="10" t="inlineStr">
        <is>
          <t>README §7.1</t>
        </is>
      </c>
      <c r="M89" s="10" t="inlineStr">
        <is>
          <t>CA-061</t>
        </is>
      </c>
      <c r="N89" s="13" t="inlineStr"/>
      <c r="O89" s="13" t="inlineStr"/>
      <c r="P89" s="13" t="inlineStr"/>
      <c r="Q89" s="13" t="inlineStr"/>
    </row>
    <row r="90">
      <c r="A90" s="10" t="inlineStr">
        <is>
          <t>M4 書き込みの正しさ</t>
        </is>
      </c>
      <c r="B90" s="10" t="inlineStr">
        <is>
          <t>テンプレートの全列がDBに入り、昇格で勤務店舗が消えない</t>
        </is>
      </c>
      <c r="C90" s="10" t="inlineStr">
        <is>
          <t>⑦ 値の妥当性</t>
        </is>
      </c>
      <c r="D90" s="10" t="inlineStr">
        <is>
          <t>AC-056</t>
        </is>
      </c>
      <c r="E90" s="17" t="inlineStr">
        <is>
          <t>MVP必須</t>
        </is>
      </c>
      <c r="F90" s="10" t="inlineStr">
        <is>
          <t>従業員コードを指定できる</t>
        </is>
      </c>
      <c r="G90" s="10" t="inlineStr">
        <is>
          <t>コード指定した行は指定値のまま登録（書き換わった件数＝0件）</t>
        </is>
      </c>
      <c r="H90" s="10" t="inlineStr">
        <is>
          <t>顧客の既存コード体系を持ち込めない。指定コードが無視されると AC-035（退職者と同じ従業員コードはエラー）が成立せず、退職者の復活を止められない。従業員コードは突合キー</t>
        </is>
      </c>
      <c r="I90" s="12" t="inlineStr">
        <is>
          <t>2</t>
        </is>
      </c>
      <c r="J90" s="10" t="inlineStr">
        <is>
          <t>従業員一覧</t>
        </is>
      </c>
      <c r="K90" s="10" t="inlineStr">
        <is>
          <t>動作確認（検証プラン）</t>
        </is>
      </c>
      <c r="L90" s="10" t="inlineStr">
        <is>
          <t>README §8.1</t>
        </is>
      </c>
      <c r="M90" s="10" t="inlineStr">
        <is>
          <t>CA-071</t>
        </is>
      </c>
      <c r="N90" s="13" t="inlineStr"/>
      <c r="O90" s="13" t="inlineStr"/>
      <c r="P90" s="13" t="inlineStr"/>
      <c r="Q90" s="13" t="inlineStr"/>
    </row>
    <row r="91">
      <c r="A91" s="10" t="inlineStr">
        <is>
          <t>M5 運用更新と再取り込み</t>
        </is>
      </c>
      <c r="B91" s="10" t="inlineStr">
        <is>
          <t>既存を壊さずに更新でき、中断から正しく復元できる</t>
        </is>
      </c>
      <c r="C91" s="10" t="inlineStr">
        <is>
          <t>① データを壊さない</t>
        </is>
      </c>
      <c r="D91" s="10" t="inlineStr">
        <is>
          <t>AC-061</t>
        </is>
      </c>
      <c r="E91" s="11" t="inlineStr">
        <is>
          <t>MVP必須</t>
        </is>
      </c>
      <c r="F91" s="10" t="inlineStr">
        <is>
          <t>スキップで既存が変わらない</t>
        </is>
      </c>
      <c r="G91" s="10" t="inlineStr">
        <is>
          <t>スキップで再取り込み後、既存レコードの変更件数＝0件</t>
        </is>
      </c>
      <c r="H91" s="10" t="inlineStr">
        <is>
          <t>**再取り込みで既存が勝手に書き換わる。** 「スキップ」が効かないと運用で事故る</t>
        </is>
      </c>
      <c r="I91" s="16" t="inlineStr">
        <is>
          <t>4</t>
        </is>
      </c>
      <c r="J91" s="10" t="inlineStr">
        <is>
          <t>プレビュー/完了</t>
        </is>
      </c>
      <c r="K91" s="10" t="inlineStr">
        <is>
          <t>動作確認（検証プラン）</t>
        </is>
      </c>
      <c r="L91" s="10" t="inlineStr">
        <is>
          <t>フローE／README §8.2</t>
        </is>
      </c>
      <c r="M91" s="10" t="inlineStr">
        <is>
          <t>OP-701</t>
        </is>
      </c>
      <c r="N91" s="13" t="inlineStr"/>
      <c r="O91" s="13" t="inlineStr"/>
      <c r="P91" s="13" t="inlineStr"/>
      <c r="Q91" s="13" t="inlineStr"/>
    </row>
    <row r="92">
      <c r="A92" s="10" t="inlineStr">
        <is>
          <t>M5 運用更新と再取り込み</t>
        </is>
      </c>
      <c r="B92" s="10" t="inlineStr">
        <is>
          <t>既存を壊さずに更新でき、中断から正しく復元できる</t>
        </is>
      </c>
      <c r="C92" s="10" t="inlineStr">
        <is>
          <t>① データを壊さない</t>
        </is>
      </c>
      <c r="D92" s="10" t="inlineStr">
        <is>
          <t>AC-063</t>
        </is>
      </c>
      <c r="E92" s="11" t="inlineStr">
        <is>
          <t>MVP必須</t>
        </is>
      </c>
      <c r="F92" s="10" t="inlineStr">
        <is>
          <t>空欄で既存の値が消えない</t>
        </is>
      </c>
      <c r="G92" s="10" t="inlineStr">
        <is>
          <t>空欄にした列の変更件数＝0件（電話番号が元の値のまま）</t>
        </is>
      </c>
      <c r="H92" s="10" t="inlineStr">
        <is>
          <t>**空欄で既存の値が消える。** 顧客が意図せずデータを失い、元に戻せない</t>
        </is>
      </c>
      <c r="I92" s="16" t="inlineStr">
        <is>
          <t>4</t>
        </is>
      </c>
      <c r="J92" s="10" t="inlineStr">
        <is>
          <t>従業員一覧</t>
        </is>
      </c>
      <c r="K92" s="10" t="inlineStr">
        <is>
          <t>動作確認（検証プラン）</t>
        </is>
      </c>
      <c r="L92" s="10" t="inlineStr">
        <is>
          <t>**設計の背骨③**／フローE／README §8.2</t>
        </is>
      </c>
      <c r="M92" s="10" t="inlineStr">
        <is>
          <t>OP-703</t>
        </is>
      </c>
      <c r="N92" s="13" t="inlineStr"/>
      <c r="O92" s="13" t="inlineStr"/>
      <c r="P92" s="13" t="inlineStr"/>
      <c r="Q92" s="13" t="inlineStr"/>
    </row>
    <row r="93">
      <c r="A93" s="10" t="inlineStr">
        <is>
          <t>M5 運用更新と再取り込み</t>
        </is>
      </c>
      <c r="B93" s="10" t="inlineStr">
        <is>
          <t>既存を壊さずに更新でき、中断から正しく復元できる</t>
        </is>
      </c>
      <c r="C93" s="10" t="inlineStr">
        <is>
          <t>③ 同じ人を二重に作らない</t>
        </is>
      </c>
      <c r="D93" s="10" t="inlineStr">
        <is>
          <t>AC-065</t>
        </is>
      </c>
      <c r="E93" s="11" t="inlineStr">
        <is>
          <t>MVP必須</t>
        </is>
      </c>
      <c r="F93" s="10" t="inlineStr">
        <is>
          <t>管理者に重複時の処理が適用されない</t>
        </is>
      </c>
      <c r="G93" s="10" t="inlineStr">
        <is>
          <t>「重複時の処理」の設定にかかわらず5分岐で自動判定される</t>
        </is>
      </c>
      <c r="H93" s="10" t="inlineStr">
        <is>
          <t>重複時の処理を「上書き」にすると、既存管理者の権限が壊れる</t>
        </is>
      </c>
      <c r="I93" s="16" t="inlineStr">
        <is>
          <t>4</t>
        </is>
      </c>
      <c r="J93" s="10" t="inlineStr">
        <is>
          <t>プレビュー</t>
        </is>
      </c>
      <c r="K93" s="10" t="inlineStr">
        <is>
          <t>動作確認（検証プラン）</t>
        </is>
      </c>
      <c r="L93" s="10" t="inlineStr">
        <is>
          <t>README §8.7</t>
        </is>
      </c>
      <c r="M93" s="10" t="inlineStr">
        <is>
          <t>OP-704</t>
        </is>
      </c>
      <c r="N93" s="13" t="inlineStr"/>
      <c r="O93" s="13" t="inlineStr"/>
      <c r="P93" s="13" t="inlineStr"/>
      <c r="Q93" s="13" t="inlineStr"/>
    </row>
    <row r="94">
      <c r="A94" s="10" t="inlineStr">
        <is>
          <t>M5 運用更新と再取り込み</t>
        </is>
      </c>
      <c r="B94" s="10" t="inlineStr">
        <is>
          <t>既存を壊さずに更新でき、中断から正しく復元できる</t>
        </is>
      </c>
      <c r="C94" s="10" t="inlineStr">
        <is>
          <t>② 取り返しがつく</t>
        </is>
      </c>
      <c r="D94" s="10" t="inlineStr">
        <is>
          <t>AC-074</t>
        </is>
      </c>
      <c r="E94" s="11" t="inlineStr">
        <is>
          <t>MVP必須</t>
        </is>
      </c>
      <c r="F94" s="10" t="inlineStr">
        <is>
          <t>中断したデータが正しく復元される</t>
        </is>
      </c>
      <c r="G94" s="10" t="inlineStr">
        <is>
          <t>中断前にアップロードした①〜③の件数と内容が一致する。④以降は未アップロードのまま</t>
        </is>
      </c>
      <c r="H94" s="10" t="inlineStr">
        <is>
          <t>**再開しても中身が違えば、顧客は入力し直しになる。** 中断機能の意味が無くなる</t>
        </is>
      </c>
      <c r="I94" s="12" t="inlineStr">
        <is>
          <t>2</t>
        </is>
      </c>
      <c r="J94" s="10" t="inlineStr">
        <is>
          <t>アップロード画面</t>
        </is>
      </c>
      <c r="K94" s="10" t="inlineStr">
        <is>
          <t>動作確認（検証プラン）</t>
        </is>
      </c>
      <c r="L94" s="10" t="inlineStr">
        <is>
          <t>フローG</t>
        </is>
      </c>
      <c r="M94" s="10" t="inlineStr">
        <is>
          <t>OP-709</t>
        </is>
      </c>
      <c r="N94" s="13" t="inlineStr"/>
      <c r="O94" s="13" t="inlineStr"/>
      <c r="P94" s="13" t="inlineStr"/>
      <c r="Q94" s="13" t="inlineStr"/>
    </row>
    <row r="95">
      <c r="A95" s="10" t="inlineStr">
        <is>
          <t>M5 運用更新と再取り込み</t>
        </is>
      </c>
      <c r="B95" s="10" t="inlineStr">
        <is>
          <t>既存を壊さずに更新でき、中断から正しく復元できる</t>
        </is>
      </c>
      <c r="C95" s="10" t="inlineStr">
        <is>
          <t>② 取り返しがつく</t>
        </is>
      </c>
      <c r="D95" s="10" t="inlineStr">
        <is>
          <t>AC-075</t>
        </is>
      </c>
      <c r="E95" s="11" t="inlineStr">
        <is>
          <t>MVP必須</t>
        </is>
      </c>
      <c r="F95" s="10" t="inlineStr">
        <is>
          <t>中断データが新規の取り込みに混ざらない</t>
        </is>
      </c>
      <c r="G95" s="10" t="inlineStr">
        <is>
          <t>再開せず開始したとき、自動で入る中断分＝0件</t>
        </is>
      </c>
      <c r="H95" s="10" t="inlineStr">
        <is>
          <t>**身に覚えのないデータが登録される。** 中断分が新規の取り込みに混ざる</t>
        </is>
      </c>
      <c r="I95" s="12" t="inlineStr">
        <is>
          <t>2</t>
        </is>
      </c>
      <c r="J95" s="10" t="inlineStr">
        <is>
          <t>アップロード画面</t>
        </is>
      </c>
      <c r="K95" s="10" t="inlineStr">
        <is>
          <t>動作確認（検証プラン）</t>
        </is>
      </c>
      <c r="L95" s="10" t="inlineStr">
        <is>
          <t>フローG</t>
        </is>
      </c>
      <c r="M95" s="10" t="inlineStr">
        <is>
          <t>OP-710</t>
        </is>
      </c>
      <c r="N95" s="13" t="inlineStr"/>
      <c r="O95" s="13" t="inlineStr"/>
      <c r="P95" s="13" t="inlineStr"/>
      <c r="Q95" s="13" t="inlineStr"/>
    </row>
    <row r="96">
      <c r="A96" s="10" t="inlineStr">
        <is>
          <t>M5 運用更新と再取り込み</t>
        </is>
      </c>
      <c r="B96" s="10" t="inlineStr">
        <is>
          <t>既存を壊さずに更新でき、中断から正しく復元できる</t>
        </is>
      </c>
      <c r="C96" s="10" t="inlineStr">
        <is>
          <t>① データを壊さない</t>
        </is>
      </c>
      <c r="D96" s="10" t="inlineStr">
        <is>
          <t>AC-062</t>
        </is>
      </c>
      <c r="E96" s="15" t="inlineStr">
        <is>
          <t>リリース必須</t>
        </is>
      </c>
      <c r="F96" s="10" t="inlineStr">
        <is>
          <t>上書き更新でテンプレートに書いた列が反映される</t>
        </is>
      </c>
      <c r="G96" s="10" t="inlineStr">
        <is>
          <t>テンプレートに値を書いた列はすべて反映される（反映漏れ＝0件）。空欄の列は対象外（AC-063）。従業員コードは突合キーのため更新しない</t>
        </is>
      </c>
      <c r="H96" s="10" t="inlineStr">
        <is>
          <t>更新したはずの列が反映されず、顧客が気づかないまま古い値で運用される</t>
        </is>
      </c>
      <c r="I96" s="16" t="inlineStr">
        <is>
          <t>4</t>
        </is>
      </c>
      <c r="J96" s="10" t="inlineStr">
        <is>
          <t>従業員一覧</t>
        </is>
      </c>
      <c r="K96" s="10" t="inlineStr">
        <is>
          <t>動作確認（検証プラン）</t>
        </is>
      </c>
      <c r="L96" s="10" t="inlineStr">
        <is>
          <t>フローE</t>
        </is>
      </c>
      <c r="M96" s="10" t="inlineStr">
        <is>
          <t>OP-702</t>
        </is>
      </c>
      <c r="N96" s="13" t="inlineStr"/>
      <c r="O96" s="13" t="inlineStr"/>
      <c r="P96" s="13" t="inlineStr"/>
      <c r="Q96" s="13" t="inlineStr"/>
    </row>
    <row r="97">
      <c r="A97" s="10" t="inlineStr">
        <is>
          <t>M5 運用更新と再取り込み</t>
        </is>
      </c>
      <c r="B97" s="10" t="inlineStr">
        <is>
          <t>既存を壊さずに更新でき、中断から正しく復元できる</t>
        </is>
      </c>
      <c r="C97" s="10" t="inlineStr">
        <is>
          <t>⑥ 順序と依存</t>
        </is>
      </c>
      <c r="D97" s="10" t="inlineStr">
        <is>
          <t>AC-064</t>
        </is>
      </c>
      <c r="E97" s="15" t="inlineStr">
        <is>
          <t>リリース必須</t>
        </is>
      </c>
      <c r="F97" s="10" t="inlineStr">
        <is>
          <t>雇用区分はコード優先で突合される</t>
        </is>
      </c>
      <c r="G97" s="10" t="inlineStr">
        <is>
          <t>コード指定時はコードで突合（新規作成＝0件）。空欄時は名称で突合（新規作成＝0件）</t>
        </is>
      </c>
      <c r="H97" s="10" t="inlineStr">
        <is>
          <t>突合キーを取り違え、別レコードが増える</t>
        </is>
      </c>
      <c r="I97" s="16" t="inlineStr">
        <is>
          <t>4</t>
        </is>
      </c>
      <c r="J97" s="10" t="inlineStr">
        <is>
          <t>雇用区分設定</t>
        </is>
      </c>
      <c r="K97" s="10" t="inlineStr">
        <is>
          <t>動作確認（検証プラン）</t>
        </is>
      </c>
      <c r="L97" s="10" t="inlineStr">
        <is>
          <t>README §8.6</t>
        </is>
      </c>
      <c r="M97" s="10" t="inlineStr">
        <is>
          <t>OP-705</t>
        </is>
      </c>
      <c r="N97" s="13" t="inlineStr"/>
      <c r="O97" s="13" t="inlineStr"/>
      <c r="P97" s="13" t="inlineStr"/>
      <c r="Q97" s="13" t="inlineStr"/>
    </row>
    <row r="98">
      <c r="A98" s="10" t="inlineStr">
        <is>
          <t>M5 運用更新と再取り込み</t>
        </is>
      </c>
      <c r="B98" s="10" t="inlineStr">
        <is>
          <t>既存を壊さずに更新でき、中断から正しく復元できる</t>
        </is>
      </c>
      <c r="C98" s="10" t="inlineStr">
        <is>
          <t>② 取り返しがつく</t>
        </is>
      </c>
      <c r="D98" s="10" t="inlineStr">
        <is>
          <t>AC-066</t>
        </is>
      </c>
      <c r="E98" s="15" t="inlineStr">
        <is>
          <t>リリース必須</t>
        </is>
      </c>
      <c r="F98" s="10" t="inlineStr">
        <is>
          <t>作業を中断して後日再開できる</t>
        </is>
      </c>
      <c r="G98" s="10" t="inlineStr">
        <is>
          <t>中断地点が保存され、再開すると①〜③はアップロード済みとして復元される。1件も投入していない状態では一時保存を押せない</t>
        </is>
      </c>
      <c r="H98" s="10" t="inlineStr">
        <is>
          <t>5種類を1日で揃えられない顧客が最初からやり直しになる</t>
        </is>
      </c>
      <c r="I98" s="12" t="inlineStr">
        <is>
          <t>2</t>
        </is>
      </c>
      <c r="J98" s="10" t="inlineStr">
        <is>
          <t>アップロード</t>
        </is>
      </c>
      <c r="K98" s="10" t="inlineStr">
        <is>
          <t>動作確認（検証プラン）</t>
        </is>
      </c>
      <c r="L98" s="10" t="inlineStr">
        <is>
          <t>フローG</t>
        </is>
      </c>
      <c r="M98" s="10" t="inlineStr">
        <is>
          <t>OP-707</t>
        </is>
      </c>
      <c r="N98" s="13" t="inlineStr"/>
      <c r="O98" s="13" t="inlineStr"/>
      <c r="P98" s="13" t="inlineStr"/>
      <c r="Q98" s="13" t="inlineStr"/>
    </row>
    <row r="99">
      <c r="A99" s="10" t="inlineStr">
        <is>
          <t>M6 権限と手入力との分担</t>
        </is>
      </c>
      <c r="B99" s="10" t="inlineStr">
        <is>
          <t>店長が全社マスタを触れず、削除・編集の出口が塞がっていない</t>
        </is>
      </c>
      <c r="C99" s="10" t="inlineStr">
        <is>
          <t>⑨ 手入力との分担</t>
        </is>
      </c>
      <c r="D99" s="10" t="inlineStr">
        <is>
          <t>AC-057</t>
        </is>
      </c>
      <c r="E99" s="11" t="inlineStr">
        <is>
          <t>MVP必須</t>
        </is>
      </c>
      <c r="F99" s="10" t="inlineStr">
        <is>
          <t>インポートが案内する出口が塞がっていない</t>
        </is>
      </c>
      <c r="G99" s="10" t="inlineStr">
        <is>
          <t>値の削除・担当店舗変更・退職者の復帰の3操作すべてが実行できる（実行できない操作＝0件）</t>
        </is>
      </c>
      <c r="H99" s="10" t="inlineStr">
        <is>
          <t>**インポートの仕様が成立しない。** 「できないこと」の受け皿が無くなる</t>
        </is>
      </c>
      <c r="I99" s="18" t="inlineStr">
        <is>
          <t>3</t>
        </is>
      </c>
      <c r="J99" s="10" t="inlineStr">
        <is>
          <t>従業員一覧</t>
        </is>
      </c>
      <c r="K99" s="10" t="inlineStr">
        <is>
          <t>動作確認（検証プラン）</t>
        </is>
      </c>
      <c r="L99" s="10" t="inlineStr">
        <is>
          <t>仕様書「インポート単体では成立しない仕様」</t>
        </is>
      </c>
      <c r="M99" s="10" t="inlineStr">
        <is>
          <t>OP-609</t>
        </is>
      </c>
      <c r="N99" s="13" t="inlineStr"/>
      <c r="O99" s="13" t="inlineStr"/>
      <c r="P99" s="13" t="inlineStr"/>
      <c r="Q99" s="13" t="inlineStr"/>
    </row>
    <row r="100">
      <c r="A100" s="10" t="inlineStr">
        <is>
          <t>M6 権限と手入力との分担</t>
        </is>
      </c>
      <c r="B100" s="10" t="inlineStr">
        <is>
          <t>店長が全社マスタを触れず、削除・編集の出口が塞がっていない</t>
        </is>
      </c>
      <c r="C100" s="10" t="inlineStr">
        <is>
          <t>⑨ 手入力との分担</t>
        </is>
      </c>
      <c r="D100" s="10" t="inlineStr">
        <is>
          <t>AC-059</t>
        </is>
      </c>
      <c r="E100" s="11" t="inlineStr">
        <is>
          <t>MVP必須</t>
        </is>
      </c>
      <c r="F100" s="10" t="inlineStr">
        <is>
          <t>インポートしたデータが手入力で扱える</t>
        </is>
      </c>
      <c r="G100" s="10" t="inlineStr">
        <is>
          <t>編集・削除の2操作とも実行できる（実行できない操作＝0件）</t>
        </is>
      </c>
      <c r="H100" s="10" t="inlineStr">
        <is>
          <t>**取り込んだデータを後から直せない。** 運用が回らない</t>
        </is>
      </c>
      <c r="I100" s="18" t="inlineStr">
        <is>
          <t>3</t>
        </is>
      </c>
      <c r="J100" s="10" t="inlineStr">
        <is>
          <t>従業員一覧</t>
        </is>
      </c>
      <c r="K100" s="10" t="inlineStr">
        <is>
          <t>動作確認（検証プラン）</t>
        </is>
      </c>
      <c r="L100" s="10" t="inlineStr">
        <is>
          <t>仕様書「操作ごとの対応」</t>
        </is>
      </c>
      <c r="M100" s="10" t="inlineStr">
        <is>
          <t>OP-615</t>
        </is>
      </c>
      <c r="N100" s="13" t="inlineStr"/>
      <c r="O100" s="13" t="inlineStr"/>
      <c r="P100" s="13" t="inlineStr"/>
      <c r="Q100" s="13" t="inlineStr"/>
    </row>
    <row r="101">
      <c r="A101" s="10" t="inlineStr">
        <is>
          <t>M6 権限と手入力との分担</t>
        </is>
      </c>
      <c r="B101" s="10" t="inlineStr">
        <is>
          <t>店長が全社マスタを触れず、削除・編集の出口が塞がっていない</t>
        </is>
      </c>
      <c r="C101" s="10" t="inlineStr">
        <is>
          <t>① データを壊さない</t>
        </is>
      </c>
      <c r="D101" s="10" t="inlineStr">
        <is>
          <t>AC-060</t>
        </is>
      </c>
      <c r="E101" s="11" t="inlineStr">
        <is>
          <t>MVP必須</t>
        </is>
      </c>
      <c r="F101" s="10" t="inlineStr">
        <is>
          <t>インポートしたデータを削除できる</t>
        </is>
      </c>
      <c r="G101" s="10" t="inlineStr">
        <is>
          <t>従業員・業態・店舗・雇用区分の4種とも削除できる（削除後の一覧に残る件数＝0件）</t>
        </is>
      </c>
      <c r="H101" s="10" t="inlineStr">
        <is>
          <t>**誤って取り込んだデータを消せない。** インポートに削除は無く、手入力が唯一の出口</t>
        </is>
      </c>
      <c r="I101" s="18" t="inlineStr">
        <is>
          <t>3</t>
        </is>
      </c>
      <c r="J101" s="10" t="inlineStr">
        <is>
          <t>従業員一覧</t>
        </is>
      </c>
      <c r="K101" s="10" t="inlineStr">
        <is>
          <t>動作確認（検証プラン）</t>
        </is>
      </c>
      <c r="L101" s="10" t="inlineStr">
        <is>
          <t>仕様書「削除について」</t>
        </is>
      </c>
      <c r="M101" s="10" t="inlineStr">
        <is>
          <t>OP-615</t>
        </is>
      </c>
      <c r="N101" s="13" t="inlineStr"/>
      <c r="O101" s="13" t="inlineStr"/>
      <c r="P101" s="13" t="inlineStr"/>
      <c r="Q101" s="13" t="inlineStr"/>
    </row>
    <row r="102">
      <c r="A102" s="10" t="inlineStr">
        <is>
          <t>M6 権限と手入力との分担</t>
        </is>
      </c>
      <c r="B102" s="10" t="inlineStr">
        <is>
          <t>店長が全社マスタを触れず、削除・編集の出口が塞がっていない</t>
        </is>
      </c>
      <c r="C102" s="10" t="inlineStr">
        <is>
          <t>⑧ 権限の境界</t>
        </is>
      </c>
      <c r="D102" s="10" t="inlineStr">
        <is>
          <t>AC-072</t>
        </is>
      </c>
      <c r="E102" s="11" t="inlineStr">
        <is>
          <t>MVP必須</t>
        </is>
      </c>
      <c r="F102" s="10" t="inlineStr">
        <is>
          <t>管理者は従業員と管理者のみ</t>
        </is>
      </c>
      <c r="G102" s="10" t="inlineStr">
        <is>
          <t>店長で①業態・②店舗・③雇用区分が表示されない（表示された種別＝0件）。④⑤のみ表示される</t>
        </is>
      </c>
      <c r="H102" s="10" t="inlineStr">
        <is>
          <t>**店長が全社マスタを書き換えられる。** 他店舗に影響が及ぶ</t>
        </is>
      </c>
      <c r="I102" s="12" t="inlineStr">
        <is>
          <t>2 / 4</t>
        </is>
      </c>
      <c r="J102" s="10" t="inlineStr">
        <is>
          <t>インポート</t>
        </is>
      </c>
      <c r="K102" s="10" t="inlineStr">
        <is>
          <t>動作確認（検証プラン）</t>
        </is>
      </c>
      <c r="L102" s="10" t="inlineStr">
        <is>
          <t>フローF</t>
        </is>
      </c>
      <c r="M102" s="10" t="inlineStr">
        <is>
          <t>OP-801</t>
        </is>
      </c>
      <c r="N102" s="13" t="inlineStr"/>
      <c r="O102" s="13" t="inlineStr"/>
      <c r="P102" s="13" t="inlineStr"/>
      <c r="Q102" s="13" t="inlineStr"/>
    </row>
    <row r="103">
      <c r="A103" s="10" t="inlineStr">
        <is>
          <t>M6 権限と手入力との分担</t>
        </is>
      </c>
      <c r="B103" s="10" t="inlineStr">
        <is>
          <t>店長が全社マスタを触れず、削除・編集の出口が塞がっていない</t>
        </is>
      </c>
      <c r="C103" s="10" t="inlineStr">
        <is>
          <t>⑧ 権限の境界</t>
        </is>
      </c>
      <c r="D103" s="10" t="inlineStr">
        <is>
          <t>AC-073</t>
        </is>
      </c>
      <c r="E103" s="11" t="inlineStr">
        <is>
          <t>MVP必須</t>
        </is>
      </c>
      <c r="F103" s="10" t="inlineStr">
        <is>
          <t>管理者は担当店舗の範囲に限られる</t>
        </is>
      </c>
      <c r="G103" s="10" t="inlineStr">
        <is>
          <t>担当外の店舗を含む行＝エラー。取り込まれた件数＝0件</t>
        </is>
      </c>
      <c r="H103" s="10" t="inlineStr">
        <is>
          <t>**店長が他店舗の従業員を登録できる。** 権限設計が破綻する</t>
        </is>
      </c>
      <c r="I103" s="12" t="inlineStr">
        <is>
          <t>2 / 4</t>
        </is>
      </c>
      <c r="J103" s="10" t="inlineStr">
        <is>
          <t>プレビュー</t>
        </is>
      </c>
      <c r="K103" s="10" t="inlineStr">
        <is>
          <t>動作確認（検証プラン）</t>
        </is>
      </c>
      <c r="L103" s="10" t="inlineStr">
        <is>
          <t>フローF</t>
        </is>
      </c>
      <c r="M103" s="10" t="inlineStr">
        <is>
          <t>OP-803</t>
        </is>
      </c>
      <c r="N103" s="13" t="inlineStr"/>
      <c r="O103" s="13" t="inlineStr"/>
      <c r="P103" s="13" t="inlineStr"/>
      <c r="Q103" s="13" t="inlineStr"/>
    </row>
    <row r="104">
      <c r="A104" s="10" t="inlineStr">
        <is>
          <t>M6 権限と手入力との分担</t>
        </is>
      </c>
      <c r="B104" s="10" t="inlineStr">
        <is>
          <t>店長が全社マスタを触れず、削除・編集の出口が塞がっていない</t>
        </is>
      </c>
      <c r="C104" s="10" t="inlineStr">
        <is>
          <t>⑨ 手入力との分担</t>
        </is>
      </c>
      <c r="D104" s="10" t="inlineStr">
        <is>
          <t>AC-107</t>
        </is>
      </c>
      <c r="E104" s="11" t="inlineStr">
        <is>
          <t>MVP必須</t>
        </is>
      </c>
      <c r="F104" s="10" t="inlineStr">
        <is>
          <t>一覧の各行から編集・削除ができる</t>
        </is>
      </c>
      <c r="G104" s="10" t="inlineStr">
        <is>
          <t>全行に[編集][削除]がある（無い行＝0件）。削除は確認ダイアログの後に消える</t>
        </is>
      </c>
      <c r="H104" s="10" t="inlineStr">
        <is>
          <t>**登録した内容を直せない・消せない。** インポートの出口も塞がる</t>
        </is>
      </c>
      <c r="I104" s="18" t="inlineStr">
        <is>
          <t>3</t>
        </is>
      </c>
      <c r="J104" s="10" t="inlineStr">
        <is>
          <t>各設定画面</t>
        </is>
      </c>
      <c r="K104" s="10" t="inlineStr">
        <is>
          <t>動作確認（検証プラン）</t>
        </is>
      </c>
      <c r="L104" s="10" t="inlineStr">
        <is>
          <t>owner-mock §3.3.1</t>
        </is>
      </c>
      <c r="M104" s="10" t="inlineStr">
        <is>
          <t>OP-028</t>
        </is>
      </c>
      <c r="N104" s="13" t="inlineStr"/>
      <c r="O104" s="13" t="inlineStr"/>
      <c r="P104" s="13" t="inlineStr"/>
      <c r="Q104" s="13" t="inlineStr"/>
    </row>
    <row r="105">
      <c r="A105" s="10" t="inlineStr">
        <is>
          <t>M6 権限と手入力との分担</t>
        </is>
      </c>
      <c r="B105" s="10" t="inlineStr">
        <is>
          <t>店長が全社マスタを触れず、削除・編集の出口が塞がっていない</t>
        </is>
      </c>
      <c r="C105" s="10" t="inlineStr">
        <is>
          <t>⑨ 手入力との分担</t>
        </is>
      </c>
      <c r="D105" s="10" t="inlineStr">
        <is>
          <t>AC-113</t>
        </is>
      </c>
      <c r="E105" s="11" t="inlineStr">
        <is>
          <t>MVP必須</t>
        </is>
      </c>
      <c r="F105" s="10" t="inlineStr">
        <is>
          <t>運用中は順序の制限なく手入力で追加できる</t>
        </is>
      </c>
      <c r="G105" s="10" t="inlineStr">
        <is>
          <t>運用更新画面の「+ 追加」から登録でき、一覧に反映される（登録できない種別＝0件）</t>
        </is>
      </c>
      <c r="H105" s="10" t="inlineStr">
        <is>
          <t>**1人だけ増えたときにCSVを作らせることになる。** 日常運用の大半は1〜2件の追加。運用更新モードには順序ガードが無く、どの種別からでも追加できる必要がある</t>
        </is>
      </c>
      <c r="I105" s="18" t="inlineStr">
        <is>
          <t>3</t>
        </is>
      </c>
      <c r="J105" s="10" t="inlineStr">
        <is>
          <t>各設定画面（運用）</t>
        </is>
      </c>
      <c r="K105" s="10" t="inlineStr">
        <is>
          <t>動作確認（検証プラン）</t>
        </is>
      </c>
      <c r="L105" s="10" t="inlineStr">
        <is>
          <t>owner-mock §3.3.1／仕様書「ケース別の遷移フロー（手入力）」</t>
        </is>
      </c>
      <c r="M105" s="10" t="inlineStr">
        <is>
          <t>OP-029</t>
        </is>
      </c>
      <c r="N105" s="13" t="inlineStr"/>
      <c r="O105" s="13" t="inlineStr"/>
      <c r="P105" s="13" t="inlineStr"/>
      <c r="Q105" s="13" t="inlineStr"/>
    </row>
    <row r="106">
      <c r="A106" s="10" t="inlineStr">
        <is>
          <t>M6 権限と手入力との分担</t>
        </is>
      </c>
      <c r="B106" s="10" t="inlineStr">
        <is>
          <t>店長が全社マスタを触れず、削除・編集の出口が塞がっていない</t>
        </is>
      </c>
      <c r="C106" s="10" t="inlineStr">
        <is>
          <t>⑨ 手入力との分担</t>
        </is>
      </c>
      <c r="D106" s="10" t="inlineStr">
        <is>
          <t>AC-058</t>
        </is>
      </c>
      <c r="E106" s="15" t="inlineStr">
        <is>
          <t>リリース必須</t>
        </is>
      </c>
      <c r="F106" s="10" t="inlineStr">
        <is>
          <t>登録経路によるスキーマの差異が無い</t>
        </is>
      </c>
      <c r="G106" s="10" t="inlineStr">
        <is>
          <t>手入力の登録モーダルとCSVテンプレートで入力項目が一致する</t>
        </is>
      </c>
      <c r="H106" s="10" t="inlineStr">
        <is>
          <t>経路によって項目が欠落し、データが揃わない</t>
        </is>
      </c>
      <c r="I106" s="14" t="inlineStr">
        <is>
          <t>1 / 3</t>
        </is>
      </c>
      <c r="J106" s="10" t="inlineStr">
        <is>
          <t>各設定画面</t>
        </is>
      </c>
      <c r="K106" s="10" t="inlineStr">
        <is>
          <t>実装レビュー（登録モーダルとテンプレートの項目突合）</t>
        </is>
      </c>
      <c r="L106" s="10" t="inlineStr">
        <is>
          <t>owner-mock §3.4.1</t>
        </is>
      </c>
      <c r="M106" s="10" t="inlineStr">
        <is>
          <t>OP-612</t>
        </is>
      </c>
      <c r="N106" s="13" t="inlineStr"/>
      <c r="O106" s="13" t="inlineStr"/>
      <c r="P106" s="13" t="inlineStr"/>
      <c r="Q106" s="13" t="inlineStr"/>
    </row>
    <row r="107">
      <c r="A107" s="10" t="inlineStr">
        <is>
          <t>M6 権限と手入力との分担</t>
        </is>
      </c>
      <c r="B107" s="10" t="inlineStr">
        <is>
          <t>店長が全社マスタを触れず、削除・編集の出口が塞がっていない</t>
        </is>
      </c>
      <c r="C107" s="10" t="inlineStr">
        <is>
          <t>⑨ 手入力との分担</t>
        </is>
      </c>
      <c r="D107" s="10" t="inlineStr">
        <is>
          <t>AC-067</t>
        </is>
      </c>
      <c r="E107" s="15" t="inlineStr">
        <is>
          <t>リリース必須</t>
        </is>
      </c>
      <c r="F107" s="10" t="inlineStr">
        <is>
          <t>削除後に再インポートできる</t>
        </is>
      </c>
      <c r="G107" s="10" t="inlineStr">
        <is>
          <t>削除した対象を再取り込み → 判定が「新規登録」（エラー・スキップ＝0件）</t>
        </is>
      </c>
      <c r="H107" s="10" t="inlineStr">
        <is>
          <t>削除の残骸が残り、再取り込みできない</t>
        </is>
      </c>
      <c r="I107" s="18" t="inlineStr">
        <is>
          <t>3</t>
        </is>
      </c>
      <c r="J107" s="10" t="inlineStr">
        <is>
          <t>プレビュー／従業員一覧</t>
        </is>
      </c>
      <c r="K107" s="10" t="inlineStr">
        <is>
          <t>動作確認（検証プラン）</t>
        </is>
      </c>
      <c r="L107" s="10" t="inlineStr">
        <is>
          <t>仕様書「削除について」</t>
        </is>
      </c>
      <c r="M107" s="10" t="inlineStr">
        <is>
          <t>OP-617</t>
        </is>
      </c>
      <c r="N107" s="13" t="inlineStr"/>
      <c r="O107" s="13" t="inlineStr"/>
      <c r="P107" s="13" t="inlineStr"/>
      <c r="Q107" s="13" t="inlineStr"/>
    </row>
    <row r="108">
      <c r="A108" s="10" t="inlineStr">
        <is>
          <t>M6 権限と手入力との分担</t>
        </is>
      </c>
      <c r="B108" s="10" t="inlineStr">
        <is>
          <t>店長が全社マスタを触れず、削除・編集の出口が塞がっていない</t>
        </is>
      </c>
      <c r="C108" s="10" t="inlineStr">
        <is>
          <t>⑨ 手入力との分担</t>
        </is>
      </c>
      <c r="D108" s="10" t="inlineStr">
        <is>
          <t>AC-069</t>
        </is>
      </c>
      <c r="E108" s="15" t="inlineStr">
        <is>
          <t>リリース必須</t>
        </is>
      </c>
      <c r="F108" s="10" t="inlineStr">
        <is>
          <t>戻った先の一覧が最新である</t>
        </is>
      </c>
      <c r="G108" s="10" t="inlineStr">
        <is>
          <t>戻った先の一覧に取り込んだ件数が反映されている（反映漏れ＝0件）</t>
        </is>
      </c>
      <c r="H108" s="10" t="inlineStr">
        <is>
          <t>取り込めたのに一覧が古く、失敗したと誤解する</t>
        </is>
      </c>
      <c r="I108" s="16" t="inlineStr">
        <is>
          <t>4</t>
        </is>
      </c>
      <c r="J108" s="10" t="inlineStr">
        <is>
          <t>完了画面</t>
        </is>
      </c>
      <c r="K108" s="10" t="inlineStr">
        <is>
          <t>動作確認（検証プラン）</t>
        </is>
      </c>
      <c r="L108" s="10" t="inlineStr">
        <is>
          <t>仕様書「連携要件C」</t>
        </is>
      </c>
      <c r="M108" s="10" t="inlineStr">
        <is>
          <t>OP-009</t>
        </is>
      </c>
      <c r="N108" s="13" t="inlineStr"/>
      <c r="O108" s="13" t="inlineStr"/>
      <c r="P108" s="13" t="inlineStr"/>
      <c r="Q108" s="13" t="inlineStr"/>
    </row>
    <row r="109">
      <c r="A109" s="10" t="inlineStr">
        <is>
          <t>M6 権限と手入力との分担</t>
        </is>
      </c>
      <c r="B109" s="10" t="inlineStr">
        <is>
          <t>店長が全社マスタを触れず、削除・編集の出口が塞がっていない</t>
        </is>
      </c>
      <c r="C109" s="10" t="inlineStr">
        <is>
          <t>⑧ 権限の境界</t>
        </is>
      </c>
      <c r="D109" s="10" t="inlineStr">
        <is>
          <t>AC-071</t>
        </is>
      </c>
      <c r="E109" s="15" t="inlineStr">
        <is>
          <t>リリース必須</t>
        </is>
      </c>
      <c r="F109" s="10" t="inlineStr">
        <is>
          <t>オーナーは5種別すべて取り込める</t>
        </is>
      </c>
      <c r="G109" s="10" t="inlineStr">
        <is>
          <t>オーナーで①〜⑤の5種別すべてが表示され、取り込める（表示されない種別＝0件）</t>
        </is>
      </c>
      <c r="H109" s="10" t="inlineStr">
        <is>
          <t>オーナーが必要な種別を取り込めない</t>
        </is>
      </c>
      <c r="I109" s="12" t="inlineStr">
        <is>
          <t>2 / 4</t>
        </is>
      </c>
      <c r="J109" s="10" t="inlineStr">
        <is>
          <t>インポート</t>
        </is>
      </c>
      <c r="K109" s="10" t="inlineStr">
        <is>
          <t>動作確認（検証プラン）</t>
        </is>
      </c>
      <c r="L109" s="10" t="inlineStr">
        <is>
          <t>フローF</t>
        </is>
      </c>
      <c r="M109" s="10" t="inlineStr">
        <is>
          <t>OP-801</t>
        </is>
      </c>
      <c r="N109" s="13" t="inlineStr"/>
      <c r="O109" s="13" t="inlineStr"/>
      <c r="P109" s="13" t="inlineStr"/>
      <c r="Q109" s="13" t="inlineStr"/>
    </row>
    <row r="110">
      <c r="A110" s="10" t="inlineStr">
        <is>
          <t>M6 権限と手入力との分担</t>
        </is>
      </c>
      <c r="B110" s="10" t="inlineStr">
        <is>
          <t>店長が全社マスタを触れず、削除・編集の出口が塞がっていない</t>
        </is>
      </c>
      <c r="C110" s="10" t="inlineStr">
        <is>
          <t>⑧ 権限の境界</t>
        </is>
      </c>
      <c r="D110" s="10" t="inlineStr">
        <is>
          <t>AC-076</t>
        </is>
      </c>
      <c r="E110" s="15" t="inlineStr">
        <is>
          <t>リリース必須</t>
        </is>
      </c>
      <c r="F110" s="10" t="inlineStr">
        <is>
          <t>店長が担当店舗の従業員を取り込める</t>
        </is>
      </c>
      <c r="G110" s="10" t="inlineStr">
        <is>
          <t>担当店舗のみのファイル → 全行が登録される（エラー＝0件）</t>
        </is>
      </c>
      <c r="H110" s="10" t="inlineStr">
        <is>
          <t>店長が自店舗の従業員すら登録できず、機能が使えない</t>
        </is>
      </c>
      <c r="I110" s="12" t="inlineStr">
        <is>
          <t>2 / 4</t>
        </is>
      </c>
      <c r="J110" s="10" t="inlineStr">
        <is>
          <t>プレビュー／従業員一覧</t>
        </is>
      </c>
      <c r="K110" s="10" t="inlineStr">
        <is>
          <t>動作確認（検証プラン）</t>
        </is>
      </c>
      <c r="L110" s="10" t="inlineStr">
        <is>
          <t>フローF</t>
        </is>
      </c>
      <c r="M110" s="10" t="inlineStr">
        <is>
          <t>OP-804</t>
        </is>
      </c>
      <c r="N110" s="13" t="inlineStr"/>
      <c r="O110" s="13" t="inlineStr"/>
      <c r="P110" s="13" t="inlineStr"/>
      <c r="Q110" s="13" t="inlineStr"/>
    </row>
    <row r="111">
      <c r="A111" s="10" t="inlineStr">
        <is>
          <t>M6 権限と手入力との分担</t>
        </is>
      </c>
      <c r="B111" s="10" t="inlineStr">
        <is>
          <t>店長が全社マスタを触れず、削除・編集の出口が塞がっていない</t>
        </is>
      </c>
      <c r="C111" s="10" t="inlineStr">
        <is>
          <t>⑨ 手入力との分担</t>
        </is>
      </c>
      <c r="D111" s="10" t="inlineStr">
        <is>
          <t>AC-068</t>
        </is>
      </c>
      <c r="E111" s="17" t="inlineStr">
        <is>
          <t>改善</t>
        </is>
      </c>
      <c r="F111" s="10" t="inlineStr">
        <is>
          <t>手入力とインポートで同じデータが作れる</t>
        </is>
      </c>
      <c r="G111" s="10" t="inlineStr">
        <is>
          <t>手入力の登録モーダルから登録できる（登録できない種別＝0件）。項目が一致するかは AC-058 で判定する</t>
        </is>
      </c>
      <c r="H111" s="10" t="inlineStr">
        <is>
          <t>手入力とインポートで作れるデータが違ってしまう</t>
        </is>
      </c>
      <c r="I111" s="14" t="inlineStr">
        <is>
          <t>1 / 3</t>
        </is>
      </c>
      <c r="J111" s="10" t="inlineStr">
        <is>
          <t>各設定画面</t>
        </is>
      </c>
      <c r="K111" s="10" t="inlineStr">
        <is>
          <t>動作確認（検証プラン）</t>
        </is>
      </c>
      <c r="L111" s="10" t="inlineStr">
        <is>
          <t>owner-mock §3.4.1</t>
        </is>
      </c>
      <c r="M111" s="10" t="inlineStr">
        <is>
          <t>OP-612</t>
        </is>
      </c>
      <c r="N111" s="13" t="inlineStr"/>
      <c r="O111" s="13" t="inlineStr"/>
      <c r="P111" s="13" t="inlineStr"/>
      <c r="Q111" s="13" t="inlineStr"/>
    </row>
    <row r="112">
      <c r="A112" s="10" t="inlineStr">
        <is>
          <t>— 対象外・検証の前提</t>
        </is>
      </c>
      <c r="B112" s="10" t="inlineStr">
        <is>
          <t>実装対象ではない</t>
        </is>
      </c>
      <c r="C112" s="10" t="inlineStr">
        <is>
          <t>⑬ 検証の前提</t>
        </is>
      </c>
      <c r="D112" s="10" t="inlineStr">
        <is>
          <t>AC-005</t>
        </is>
      </c>
      <c r="E112" s="19" t="inlineStr">
        <is>
          <t>—</t>
        </is>
      </c>
      <c r="F112" s="10" t="inlineStr">
        <is>
          <t>検証環境と初期データが整っている</t>
        </is>
      </c>
      <c r="G112" s="10" t="inlineStr">
        <is>
          <t>Stagingにオーナーでログインでき、業態・店舗・雇用区分・従業員・管理者すべて0件。取り込み方式＝テンプレート</t>
        </is>
      </c>
      <c r="H112" s="10" t="inlineStr">
        <is>
          <t>本番に接続する／既存データが混ざり判定が読めない</t>
        </is>
      </c>
      <c r="I112" s="12" t="inlineStr">
        <is>
          <t>2</t>
        </is>
      </c>
      <c r="J112" s="10" t="inlineStr">
        <is>
          <t>ログイン</t>
        </is>
      </c>
      <c r="K112" s="10" t="inlineStr">
        <is>
          <t>実装レビュー（検証の前提）</t>
        </is>
      </c>
      <c r="L112" s="10" t="inlineStr">
        <is>
          <t>仕様書 8.1</t>
        </is>
      </c>
      <c r="M112" s="10" t="inlineStr">
        <is>
          <t>OP-001</t>
        </is>
      </c>
      <c r="N112" s="13" t="inlineStr"/>
      <c r="O112" s="13" t="inlineStr"/>
      <c r="P112" s="13" t="inlineStr"/>
      <c r="Q112" s="13" t="inlineStr"/>
    </row>
    <row r="113">
      <c r="A113" s="10" t="inlineStr">
        <is>
          <t>— 対象外・検証の前提</t>
        </is>
      </c>
      <c r="B113" s="10" t="inlineStr">
        <is>
          <t>実装対象ではない</t>
        </is>
      </c>
      <c r="C113" s="10" t="inlineStr">
        <is>
          <t>⑬ 検証の前提</t>
        </is>
      </c>
      <c r="D113" s="10" t="inlineStr">
        <is>
          <t>AC-007</t>
        </is>
      </c>
      <c r="E113" s="19" t="inlineStr">
        <is>
          <t>—</t>
        </is>
      </c>
      <c r="F113" s="10" t="inlineStr">
        <is>
          <t>新規登録と運用更新を分けて検証する</t>
        </is>
      </c>
      <c r="G113" s="10" t="inlineStr">
        <is>
          <t>P1〜P6を0件の状態、P7以降を既登録ありの状態で実施する（モードを取り違えた検証＝0件）</t>
        </is>
      </c>
      <c r="H113" s="10" t="inlineStr">
        <is>
          <t>5分岐や重複時の処理が発生せず、検証にならない</t>
        </is>
      </c>
      <c r="I113" s="12" t="inlineStr">
        <is>
          <t>2</t>
        </is>
      </c>
      <c r="J113" s="10" t="inlineStr">
        <is>
          <t>ログイン</t>
        </is>
      </c>
      <c r="K113" s="10" t="inlineStr">
        <is>
          <t>実装レビュー（検証の前提）</t>
        </is>
      </c>
      <c r="L113" s="10" t="inlineStr">
        <is>
          <t>仕様書「新規登録と運用更新の違い」</t>
        </is>
      </c>
      <c r="M113" s="10" t="inlineStr">
        <is>
          <t>OP-001</t>
        </is>
      </c>
      <c r="N113" s="13" t="inlineStr"/>
      <c r="O113" s="13" t="inlineStr"/>
      <c r="P113" s="13" t="inlineStr"/>
      <c r="Q113" s="13" t="inlineStr"/>
    </row>
    <row r="114">
      <c r="A114" s="10" t="inlineStr">
        <is>
          <t>— 対象外・検証の前提</t>
        </is>
      </c>
      <c r="B114" s="10" t="inlineStr">
        <is>
          <t>実装対象ではない</t>
        </is>
      </c>
      <c r="C114" s="10" t="inlineStr">
        <is>
          <t>⑬ 検証の前提</t>
        </is>
      </c>
      <c r="D114" s="10" t="inlineStr">
        <is>
          <t>AC-008</t>
        </is>
      </c>
      <c r="E114" s="19" t="inlineStr">
        <is>
          <t>—</t>
        </is>
      </c>
      <c r="F114" s="10" t="inlineStr">
        <is>
          <t>モックで期待動作を確認できる</t>
        </is>
      </c>
      <c r="G114" s="10" t="inlineStr">
        <is>
          <t>テンプレート側の画面が操作でき、外部勤怠側19画面に凍結バナーが出る</t>
        </is>
      </c>
      <c r="H114" s="10" t="inlineStr">
        <is>
          <t>期待動作の基準が無く、合否を判断できない</t>
        </is>
      </c>
      <c r="I114" s="12" t="inlineStr">
        <is>
          <t>2</t>
        </is>
      </c>
      <c r="J114" s="10" t="inlineStr">
        <is>
          <t>モック（公開URL）</t>
        </is>
      </c>
      <c r="K114" s="10" t="inlineStr">
        <is>
          <t>実装レビュー（モック）</t>
        </is>
      </c>
      <c r="L114" s="10" t="inlineStr">
        <is>
          <t>モック</t>
        </is>
      </c>
      <c r="M114" s="10" t="inlineStr">
        <is>
          <t>OP-007</t>
        </is>
      </c>
      <c r="N114" s="13" t="inlineStr"/>
      <c r="O114" s="13" t="inlineStr"/>
      <c r="P114" s="13" t="inlineStr"/>
      <c r="Q114" s="13" t="inlineStr"/>
    </row>
    <row r="115">
      <c r="A115" s="10" t="inlineStr">
        <is>
          <t>— 対象外・検証の前提</t>
        </is>
      </c>
      <c r="B115" s="10" t="inlineStr">
        <is>
          <t>実装対象ではない</t>
        </is>
      </c>
      <c r="C115" s="10" t="inlineStr">
        <is>
          <t>⑫ 対象外</t>
        </is>
      </c>
      <c r="D115" s="10" t="inlineStr">
        <is>
          <t>AC-081</t>
        </is>
      </c>
      <c r="E115" s="19" t="inlineStr">
        <is>
          <t>—</t>
        </is>
      </c>
      <c r="F115" s="10" t="inlineStr">
        <is>
          <t>外部勤怠サービスインポートは対象外</t>
        </is>
      </c>
      <c r="G115" s="10" t="inlineStr">
        <is>
          <t>外部勤怠サービスインポートの画面に凍結の案内が出る（実装対象として案内された箇所＝0件）</t>
        </is>
      </c>
      <c r="H115" s="10" t="inlineStr">
        <is>
          <t>凍結中の機能を実装対象と誤解する</t>
        </is>
      </c>
      <c r="I115" s="12" t="inlineStr">
        <is>
          <t>2 / 4</t>
        </is>
      </c>
      <c r="J115" s="10" t="inlineStr">
        <is>
          <t>インポートのトップ</t>
        </is>
      </c>
      <c r="K115" s="10" t="inlineStr">
        <is>
          <t>実装レビュー（対象外の確認）</t>
        </is>
      </c>
      <c r="L115" s="10" t="inlineStr">
        <is>
          <t>README §2（凍結）</t>
        </is>
      </c>
      <c r="M115" s="10" t="inlineStr">
        <is>
          <t>OP-901</t>
        </is>
      </c>
      <c r="N115" s="13" t="inlineStr"/>
      <c r="O115" s="13" t="inlineStr"/>
      <c r="P115" s="13" t="inlineStr"/>
      <c r="Q115" s="13" t="inlineStr"/>
    </row>
    <row r="116">
      <c r="A116" s="10" t="inlineStr">
        <is>
          <t>— 対象外・検証の前提</t>
        </is>
      </c>
      <c r="B116" s="10" t="inlineStr">
        <is>
          <t>実装対象ではない</t>
        </is>
      </c>
      <c r="C116" s="10" t="inlineStr">
        <is>
          <t>⑫ 対象外</t>
        </is>
      </c>
      <c r="D116" s="10" t="inlineStr">
        <is>
          <t>AC-082</t>
        </is>
      </c>
      <c r="E116" s="19" t="inlineStr">
        <is>
          <t>—</t>
        </is>
      </c>
      <c r="F116" s="10" t="inlineStr">
        <is>
          <t>補完テンプレート・デフォルト値設定は対象外</t>
        </is>
      </c>
      <c r="G116" s="10" t="inlineStr">
        <is>
          <t>補完用テンプレート取込とプレビューのデフォルト値設定が、実装対象として案内されない（案内された箇所＝0件）</t>
        </is>
      </c>
      <c r="H116" s="10" t="inlineStr">
        <is>
          <t>外部勤怠専用の機能を実装対象と誤解する</t>
        </is>
      </c>
      <c r="I116" s="12" t="inlineStr">
        <is>
          <t>2 / 4</t>
        </is>
      </c>
      <c r="J116" s="10" t="inlineStr">
        <is>
          <t>補完テンプレート／プレビュー</t>
        </is>
      </c>
      <c r="K116" s="10" t="inlineStr">
        <is>
          <t>実装レビュー（対象外の確認）</t>
        </is>
      </c>
      <c r="L116" s="10" t="inlineStr">
        <is>
          <t>README §2（凍結）</t>
        </is>
      </c>
      <c r="M116" s="10" t="inlineStr">
        <is>
          <t>OP-901</t>
        </is>
      </c>
      <c r="N116" s="13" t="inlineStr"/>
      <c r="O116" s="13" t="inlineStr"/>
      <c r="P116" s="13" t="inlineStr"/>
      <c r="Q116" s="13" t="inlineStr"/>
    </row>
  </sheetData>
  <autoFilter ref="A28:Q116"/>
  <conditionalFormatting sqref="N29:N116">
    <cfRule type="cellIs" priority="1" operator="equal" dxfId="0">
      <formula>"OK"</formula>
    </cfRule>
    <cfRule type="cellIs" priority="2" operator="equal" dxfId="1">
      <formula>"NG"</formula>
    </cfRule>
  </conditionalFormatting>
  <conditionalFormatting sqref="I6">
    <cfRule type="cellIs" priority="3" operator="equal" dxfId="0">
      <formula>1</formula>
    </cfRule>
  </conditionalFormatting>
  <conditionalFormatting sqref="G6">
    <cfRule type="cellIs" priority="4" operator="greaterThan" dxfId="1">
      <formula>0</formula>
    </cfRule>
  </conditionalFormatting>
  <conditionalFormatting sqref="I7">
    <cfRule type="cellIs" priority="5" operator="equal" dxfId="0">
      <formula>1</formula>
    </cfRule>
  </conditionalFormatting>
  <conditionalFormatting sqref="G7">
    <cfRule type="cellIs" priority="6" operator="greaterThan" dxfId="1">
      <formula>0</formula>
    </cfRule>
  </conditionalFormatting>
  <conditionalFormatting sqref="I8">
    <cfRule type="cellIs" priority="7" operator="equal" dxfId="0">
      <formula>1</formula>
    </cfRule>
  </conditionalFormatting>
  <conditionalFormatting sqref="G8">
    <cfRule type="cellIs" priority="8" operator="greaterThan" dxfId="1">
      <formula>0</formula>
    </cfRule>
  </conditionalFormatting>
  <conditionalFormatting sqref="I9">
    <cfRule type="cellIs" priority="9" operator="equal" dxfId="0">
      <formula>1</formula>
    </cfRule>
  </conditionalFormatting>
  <conditionalFormatting sqref="G9">
    <cfRule type="cellIs" priority="10" operator="greaterThan" dxfId="1">
      <formula>0</formula>
    </cfRule>
  </conditionalFormatting>
  <conditionalFormatting sqref="I10">
    <cfRule type="cellIs" priority="11" operator="equal" dxfId="0">
      <formula>1</formula>
    </cfRule>
  </conditionalFormatting>
  <conditionalFormatting sqref="G10">
    <cfRule type="cellIs" priority="12" operator="greaterThan" dxfId="1">
      <formula>0</formula>
    </cfRule>
  </conditionalFormatting>
  <conditionalFormatting sqref="I11">
    <cfRule type="cellIs" priority="13" operator="equal" dxfId="0">
      <formula>1</formula>
    </cfRule>
  </conditionalFormatting>
  <conditionalFormatting sqref="G11">
    <cfRule type="cellIs" priority="14" operator="greaterThan" dxfId="1">
      <formula>0</formula>
    </cfRule>
  </conditionalFormatting>
  <conditionalFormatting sqref="I12">
    <cfRule type="cellIs" priority="15" operator="equal" dxfId="0">
      <formula>1</formula>
    </cfRule>
  </conditionalFormatting>
  <conditionalFormatting sqref="G12">
    <cfRule type="cellIs" priority="16" operator="greaterThan" dxfId="1">
      <formula>0</formula>
    </cfRule>
  </conditionalFormatting>
  <conditionalFormatting sqref="I16">
    <cfRule type="cellIs" priority="17" operator="equal" dxfId="0">
      <formula>1</formula>
    </cfRule>
  </conditionalFormatting>
  <conditionalFormatting sqref="G16">
    <cfRule type="cellIs" priority="18" operator="greaterThan" dxfId="1">
      <formula>0</formula>
    </cfRule>
  </conditionalFormatting>
  <conditionalFormatting sqref="I17">
    <cfRule type="cellIs" priority="19" operator="equal" dxfId="0">
      <formula>1</formula>
    </cfRule>
  </conditionalFormatting>
  <conditionalFormatting sqref="G17">
    <cfRule type="cellIs" priority="20" operator="greaterThan" dxfId="1">
      <formula>0</formula>
    </cfRule>
  </conditionalFormatting>
  <conditionalFormatting sqref="I18">
    <cfRule type="cellIs" priority="21" operator="equal" dxfId="0">
      <formula>1</formula>
    </cfRule>
  </conditionalFormatting>
  <conditionalFormatting sqref="G18">
    <cfRule type="cellIs" priority="22" operator="greaterThan" dxfId="1">
      <formula>0</formula>
    </cfRule>
  </conditionalFormatting>
  <conditionalFormatting sqref="I19">
    <cfRule type="cellIs" priority="23" operator="equal" dxfId="0">
      <formula>1</formula>
    </cfRule>
  </conditionalFormatting>
  <conditionalFormatting sqref="G19">
    <cfRule type="cellIs" priority="24" operator="greaterThan" dxfId="1">
      <formula>0</formula>
    </cfRule>
  </conditionalFormatting>
  <conditionalFormatting sqref="I22">
    <cfRule type="cellIs" priority="25" operator="equal" dxfId="0">
      <formula>1</formula>
    </cfRule>
  </conditionalFormatting>
  <conditionalFormatting sqref="G22">
    <cfRule type="cellIs" priority="26" operator="greaterThan" dxfId="1">
      <formula>0</formula>
    </cfRule>
  </conditionalFormatting>
  <conditionalFormatting sqref="I23">
    <cfRule type="cellIs" priority="27" operator="equal" dxfId="0">
      <formula>1</formula>
    </cfRule>
  </conditionalFormatting>
  <conditionalFormatting sqref="G23">
    <cfRule type="cellIs" priority="28" operator="greaterThan" dxfId="1">
      <formula>0</formula>
    </cfRule>
  </conditionalFormatting>
  <conditionalFormatting sqref="I24">
    <cfRule type="cellIs" priority="29" operator="equal" dxfId="0">
      <formula>1</formula>
    </cfRule>
  </conditionalFormatting>
  <conditionalFormatting sqref="G24">
    <cfRule type="cellIs" priority="30" operator="greaterThan" dxfId="1">
      <formula>0</formula>
    </cfRule>
  </conditionalFormatting>
  <conditionalFormatting sqref="I25">
    <cfRule type="cellIs" priority="31" operator="equal" dxfId="0">
      <formula>1</formula>
    </cfRule>
  </conditionalFormatting>
  <conditionalFormatting sqref="G25">
    <cfRule type="cellIs" priority="32" operator="greaterThan" dxfId="1">
      <formula>0</formula>
    </cfRule>
  </conditionalFormatting>
  <dataValidations count="1">
    <dataValidation sqref="N29:N116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2026-08-05T04:14:25Z</dcterms:created>
  <dcterms:modified xmlns:dcterms="http://purl.org/dc/terms/" xmlns:xsi="http://www.w3.org/2001/XMLSchema-instance" xsi:type="dcterms:W3CDTF">2026-08-06T07:41:54Z</dcterms:modified>
</cp:coreProperties>
</file>