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</sheets>
  <definedNames>
    <definedName name="_xlnm._FilterDatabase" localSheetId="0" hidden="1">'使い方'!$A$1:$D$62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50" customWidth="1" min="4" max="4"/>
  </cols>
  <sheetData>
    <row r="1" ht="30" customHeight="1">
      <c r="A1" s="1" t="inlineStr">
        <is>
          <t>区分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補足</t>
        </is>
      </c>
    </row>
    <row r="2">
      <c r="A2" s="2" t="inlineStr">
        <is>
          <t>1 資料の関係</t>
        </is>
      </c>
      <c r="B2" s="2" t="inlineStr">
        <is>
          <t>使う順番</t>
        </is>
      </c>
      <c r="C2" s="2" t="inlineStr">
        <is>
          <t>① 仕様書（なぜ作るか）→ ② 受入条件（合格ライン・実装前に合意）→ ③ 検証プラン（実測値）→ ② 受入条件（判定）</t>
        </is>
      </c>
      <c r="D2" s="2" t="inlineStr">
        <is>
          <t>受け入れ条件は2回使う。実装前は「約束」、実装後は「判定」</t>
        </is>
      </c>
    </row>
    <row r="3">
      <c r="A3" s="2" t="inlineStr">
        <is>
          <t>1 資料の関係</t>
        </is>
      </c>
      <c r="B3" s="2" t="inlineStr">
        <is>
          <t>定義表</t>
        </is>
      </c>
      <c r="C3" s="2" t="inlineStr">
        <is>
          <t>何を守るか・なぜか</t>
        </is>
      </c>
      <c r="D3" s="2" t="inlineStr">
        <is>
          <t>実装前の合意／設計レビュー。書き換えない</t>
        </is>
      </c>
    </row>
    <row r="4">
      <c r="A4" s="2" t="inlineStr">
        <is>
          <t>1 資料の関係</t>
        </is>
      </c>
      <c r="B4" s="2" t="inlineStr">
        <is>
          <t>確認表</t>
        </is>
      </c>
      <c r="C4" s="2" t="inlineStr">
        <is>
          <t>実装が条件に合致しているかの判定</t>
        </is>
      </c>
      <c r="D4" s="2" t="inlineStr">
        <is>
          <t>実装後・検証後。ここに書き込む</t>
        </is>
      </c>
    </row>
    <row r="5">
      <c r="A5" s="2" t="inlineStr">
        <is>
          <t>1 資料の関係</t>
        </is>
      </c>
      <c r="B5" s="2" t="inlineStr">
        <is>
          <t>検証プラン</t>
        </is>
      </c>
      <c r="C5" s="2" t="inlineStr">
        <is>
          <t>操作して実測値を出す</t>
        </is>
      </c>
      <c r="D5" s="2" t="inlineStr">
        <is>
          <t>検証の作業中に見る</t>
        </is>
      </c>
    </row>
    <row r="6">
      <c r="A6" s="2" t="inlineStr">
        <is>
          <t>2 定義表の読み方</t>
        </is>
      </c>
      <c r="B6" s="2" t="inlineStr">
        <is>
          <t>設計ポイント</t>
        </is>
      </c>
      <c r="C6" s="2" t="inlineStr">
        <is>
          <t>何を守る条件か（①〜⑬）</t>
        </is>
      </c>
      <c r="D6" s="2" t="inlineStr">
        <is>
          <t>上にあるほど崩れたときの損害が大きい</t>
        </is>
      </c>
    </row>
    <row r="7">
      <c r="A7" s="2" t="inlineStr">
        <is>
          <t>2 定義表の読み方</t>
        </is>
      </c>
      <c r="B7" s="2" t="inlineStr">
        <is>
          <t>条件ID</t>
        </is>
      </c>
      <c r="C7" s="2" t="inlineStr">
        <is>
          <t>AC-001 のような一意の番号</t>
        </is>
      </c>
      <c r="D7" s="2" t="inlineStr">
        <is>
          <t>確認表・トレーサビリティ表と対応</t>
        </is>
      </c>
    </row>
    <row r="8">
      <c r="A8" s="2" t="inlineStr">
        <is>
          <t>2 定義表の読み方</t>
        </is>
      </c>
      <c r="B8" s="2" t="inlineStr">
        <is>
          <t>マイルストーン</t>
        </is>
      </c>
      <c r="C8" s="2" t="inlineStr">
        <is>
          <t>どの実装段階で満たすか（M1〜M6）</t>
        </is>
      </c>
      <c r="D8" s="2" t="inlineStr"/>
    </row>
    <row r="9">
      <c r="A9" s="2" t="inlineStr">
        <is>
          <t>2 定義表の読み方</t>
        </is>
      </c>
      <c r="B9" s="2" t="inlineStr">
        <is>
          <t>満たすべきこと</t>
        </is>
      </c>
      <c r="C9" s="2" t="inlineStr">
        <is>
          <t>実装の到達点。1文</t>
        </is>
      </c>
      <c r="D9" s="2" t="inlineStr"/>
    </row>
    <row r="10">
      <c r="A10" s="2" t="inlineStr">
        <is>
          <t>2 定義表の読み方</t>
        </is>
      </c>
      <c r="B10" s="2" t="inlineStr">
        <is>
          <t>MVP区分</t>
        </is>
      </c>
      <c r="C10" s="2" t="inlineStr">
        <is>
          <t>実装の優先度</t>
        </is>
      </c>
      <c r="D10" s="2" t="inlineStr">
        <is>
          <t>MVP必須44 / リリース必須30 / 改善9 / 対象外5</t>
        </is>
      </c>
    </row>
    <row r="11">
      <c r="A11" s="2" t="inlineStr">
        <is>
          <t>2 定義表の読み方</t>
        </is>
      </c>
      <c r="B11" s="2" t="inlineStr">
        <is>
          <t>崩れると起きること</t>
        </is>
      </c>
      <c r="C11" s="2" t="inlineStr">
        <is>
          <t>なぜこの条件があるか</t>
        </is>
      </c>
      <c r="D11" s="2" t="inlineStr">
        <is>
          <t>実装の優先度はここで判断する</t>
        </is>
      </c>
    </row>
    <row r="12">
      <c r="A12" s="2" t="inlineStr">
        <is>
          <t>2 定義表の読み方</t>
        </is>
      </c>
      <c r="B12" s="2" t="inlineStr">
        <is>
          <t>仕様の該当箇所</t>
        </is>
      </c>
      <c r="C12" s="2" t="inlineStr">
        <is>
          <t>詳細を読むところ</t>
        </is>
      </c>
      <c r="D12" s="2" t="inlineStr"/>
    </row>
    <row r="13">
      <c r="A13" s="2" t="inlineStr">
        <is>
          <t>3 MVP区分</t>
        </is>
      </c>
      <c r="B13" s="2" t="inlineStr">
        <is>
          <t>MVP必須（44件）</t>
        </is>
      </c>
      <c r="C13" s="2" t="inlineStr">
        <is>
          <t>これが無いと機能として成立しない</t>
        </is>
      </c>
      <c r="D13" s="2" t="inlineStr">
        <is>
          <t>データが壊れる／取り返しがつかない／二重登録される／導入が完了しない</t>
        </is>
      </c>
    </row>
    <row r="14">
      <c r="A14" s="2" t="inlineStr">
        <is>
          <t>3 MVP区分</t>
        </is>
      </c>
      <c r="B14" s="2" t="inlineStr">
        <is>
          <t>リリース必須（30件）</t>
        </is>
      </c>
      <c r="C14" s="2" t="inlineStr">
        <is>
          <t>顧客に出すのに必要</t>
        </is>
      </c>
      <c r="D14" s="2" t="inlineStr">
        <is>
          <t>無いと問い合わせや誤解が起きる</t>
        </is>
      </c>
    </row>
    <row r="15">
      <c r="A15" s="2" t="inlineStr">
        <is>
          <t>3 MVP区分</t>
        </is>
      </c>
      <c r="B15" s="2" t="inlineStr">
        <is>
          <t>改善（9件）</t>
        </is>
      </c>
      <c r="C15" s="2" t="inlineStr">
        <is>
          <t>無くても運用は回る</t>
        </is>
      </c>
      <c r="D15" s="2" t="inlineStr">
        <is>
          <t>余力があれば</t>
        </is>
      </c>
    </row>
    <row r="16">
      <c r="A16" s="2" t="inlineStr">
        <is>
          <t>3 MVP区分</t>
        </is>
      </c>
      <c r="B16" s="2" t="inlineStr">
        <is>
          <t>—（5件）</t>
        </is>
      </c>
      <c r="C16" s="2" t="inlineStr">
        <is>
          <t>対象外・検証の前提</t>
        </is>
      </c>
      <c r="D16" s="2" t="inlineStr">
        <is>
          <t>実装対象ではない</t>
        </is>
      </c>
    </row>
    <row r="17">
      <c r="A17" s="2" t="inlineStr">
        <is>
          <t>4 確認表 記入者</t>
        </is>
      </c>
      <c r="B17" s="2" t="inlineStr">
        <is>
          <t>実装状況</t>
        </is>
      </c>
      <c r="C17" s="2" t="inlineStr">
        <is>
          <t>エンジニアが記入</t>
        </is>
      </c>
      <c r="D17" s="2" t="inlineStr">
        <is>
          <t>○ 実装済み ／ △ 一部 ／ × 未実装</t>
        </is>
      </c>
    </row>
    <row r="18">
      <c r="A18" s="2" t="inlineStr">
        <is>
          <t>4 確認表 記入者</t>
        </is>
      </c>
      <c r="B18" s="2" t="inlineStr">
        <is>
          <t>検証結果</t>
        </is>
      </c>
      <c r="C18" s="2" t="inlineStr">
        <is>
          <t>検証する人が記入</t>
        </is>
      </c>
      <c r="D18" s="2" t="inlineStr">
        <is>
          <t>検証プランで出た実測値を書く</t>
        </is>
      </c>
    </row>
    <row r="19">
      <c r="A19" s="2" t="inlineStr">
        <is>
          <t>4 確認表 記入者</t>
        </is>
      </c>
      <c r="B19" s="2" t="inlineStr">
        <is>
          <t>判定</t>
        </is>
      </c>
      <c r="C19" s="2" t="inlineStr">
        <is>
          <t>判断する人が記入</t>
        </is>
      </c>
      <c r="D19" s="2" t="inlineStr">
        <is>
          <t>合格 ／ 不合格</t>
        </is>
      </c>
    </row>
    <row r="20">
      <c r="A20" s="2" t="inlineStr">
        <is>
          <t>4 確認表 記入者</t>
        </is>
      </c>
      <c r="B20" s="2" t="inlineStr">
        <is>
          <t>確認日</t>
        </is>
      </c>
      <c r="C20" s="2" t="inlineStr">
        <is>
          <t>判断する人が記入</t>
        </is>
      </c>
      <c r="D20" s="2" t="inlineStr"/>
    </row>
    <row r="21">
      <c r="A21" s="2" t="inlineStr">
        <is>
          <t>4 確認表 記入者</t>
        </is>
      </c>
      <c r="B21" s="2" t="inlineStr">
        <is>
          <t>メモ</t>
        </is>
      </c>
      <c r="C21" s="2" t="inlineStr">
        <is>
          <t>誰でも</t>
        </is>
      </c>
      <c r="D21" s="2" t="inlineStr">
        <is>
          <t>不合格の理由、回避策など</t>
        </is>
      </c>
    </row>
    <row r="22">
      <c r="A22" s="2" t="inlineStr">
        <is>
          <t>4 確認表 記入者</t>
        </is>
      </c>
      <c r="B22" s="2" t="inlineStr">
        <is>
          <t>その他の列</t>
        </is>
      </c>
      <c r="C22" s="2" t="inlineStr">
        <is>
          <t>記入不要</t>
        </is>
      </c>
      <c r="D22" s="2" t="inlineStr">
        <is>
          <t>定義表と同じ内容、または検証の参照先</t>
        </is>
      </c>
    </row>
    <row r="23">
      <c r="A23" s="2" t="inlineStr">
        <is>
          <t>5 記入例</t>
        </is>
      </c>
      <c r="B23" s="2" t="inlineStr">
        <is>
          <t>対象</t>
        </is>
      </c>
      <c r="C23" s="2" t="inlineStr">
        <is>
          <t>AC-053 昇格で勤務店舗が消えない</t>
        </is>
      </c>
      <c r="D23" s="2" t="inlineStr"/>
    </row>
    <row r="24">
      <c r="A24" s="2" t="inlineStr">
        <is>
          <t>5 記入例</t>
        </is>
      </c>
      <c r="B24" s="2" t="inlineStr">
        <is>
          <t>合致していると言える状態（既定）</t>
        </is>
      </c>
      <c r="C24" s="2" t="inlineStr">
        <is>
          <t>元の2店舗の所属が維持されている（消えた件数＝0件）</t>
        </is>
      </c>
      <c r="D24" s="2" t="inlineStr">
        <is>
          <t>合格ラインは数で書いてある</t>
        </is>
      </c>
    </row>
    <row r="25">
      <c r="A25" s="2" t="inlineStr">
        <is>
          <t>5 記入例</t>
        </is>
      </c>
      <c r="B25" s="2" t="inlineStr">
        <is>
          <t>根拠（検証ID）（既定）</t>
        </is>
      </c>
      <c r="C25" s="2" t="inlineStr">
        <is>
          <t>OP-607 / CA-061</t>
        </is>
      </c>
      <c r="D25" s="2" t="inlineStr"/>
    </row>
    <row r="26">
      <c r="A26" s="2" t="inlineStr">
        <is>
          <t>5 記入例</t>
        </is>
      </c>
      <c r="B26" s="2" t="inlineStr">
        <is>
          <t>実装状況（記入）</t>
        </is>
      </c>
      <c r="C26" s="2" t="inlineStr">
        <is>
          <t>○</t>
        </is>
      </c>
      <c r="D26" s="2" t="inlineStr"/>
    </row>
    <row r="27">
      <c r="A27" s="2" t="inlineStr">
        <is>
          <t>5 記入例</t>
        </is>
      </c>
      <c r="B27" s="2" t="inlineStr">
        <is>
          <t>検証結果（記入）</t>
        </is>
      </c>
      <c r="C27" s="2" t="inlineStr">
        <is>
          <t>2店舗所属の従業員を渋谷店のみで昇格 → 担当店舗2件のまま</t>
        </is>
      </c>
      <c r="D27" s="2" t="inlineStr"/>
    </row>
    <row r="28">
      <c r="A28" s="2" t="inlineStr">
        <is>
          <t>5 記入例</t>
        </is>
      </c>
      <c r="B28" s="2" t="inlineStr">
        <is>
          <t>判定（記入）</t>
        </is>
      </c>
      <c r="C28" s="2" t="inlineStr">
        <is>
          <t>合格</t>
        </is>
      </c>
      <c r="D28" s="2" t="inlineStr">
        <is>
          <t>実測値と合格ラインを並べて判定する</t>
        </is>
      </c>
    </row>
    <row r="29">
      <c r="A29" s="2" t="inlineStr">
        <is>
          <t>6 進め方</t>
        </is>
      </c>
      <c r="B29" s="2" t="inlineStr">
        <is>
          <t>① 実装前（〜8/14）</t>
        </is>
      </c>
      <c r="C29" s="2" t="inlineStr">
        <is>
          <t>定義表のMVP必須44件をエンジニアと合意する</t>
        </is>
      </c>
      <c r="D29" s="2" t="inlineStr">
        <is>
          <t>異論はこの時点で出す。実装後に条件を変えると判定の意味がなくなる</t>
        </is>
      </c>
    </row>
    <row r="30">
      <c r="A30" s="2" t="inlineStr">
        <is>
          <t>6 進め方</t>
        </is>
      </c>
      <c r="B30" s="2" t="inlineStr">
        <is>
          <t>② 実装前（〜8/14）</t>
        </is>
      </c>
      <c r="C30" s="2" t="inlineStr">
        <is>
          <t>マイルストーン表でM1〜M6の実装順序を決める</t>
        </is>
      </c>
      <c r="D30" s="2" t="inlineStr"/>
    </row>
    <row r="31">
      <c r="A31" s="2" t="inlineStr">
        <is>
          <t>6 進め方</t>
        </is>
      </c>
      <c r="B31" s="2" t="inlineStr">
        <is>
          <t>③ 実装後（8/14）</t>
        </is>
      </c>
      <c r="C31" s="2" t="inlineStr">
        <is>
          <t>エンジニアが確認表の「実装状況」に ○△× を記入</t>
        </is>
      </c>
      <c r="D31" s="2" t="inlineStr">
        <is>
          <t>未実装と不具合を区別するため、検証より先に埋める</t>
        </is>
      </c>
    </row>
    <row r="32">
      <c r="A32" s="2" t="inlineStr">
        <is>
          <t>6 進め方</t>
        </is>
      </c>
      <c r="B32" s="2" t="inlineStr">
        <is>
          <t>④ 検証（8/15〜）</t>
        </is>
      </c>
      <c r="C32" s="2" t="inlineStr">
        <is>
          <t>検証プランを段階順（P0→P9）に実施する</t>
        </is>
      </c>
      <c r="D32" s="2" t="inlineStr">
        <is>
          <t>確認表ではなく検証プランを見て操作する</t>
        </is>
      </c>
    </row>
    <row r="33">
      <c r="A33" s="2" t="inlineStr">
        <is>
          <t>6 進め方</t>
        </is>
      </c>
      <c r="B33" s="2" t="inlineStr">
        <is>
          <t>⑤ 検証（8/15〜）</t>
        </is>
      </c>
      <c r="C33" s="2" t="inlineStr">
        <is>
          <t>検証プランの「実際の結果」「判定」を記入する</t>
        </is>
      </c>
      <c r="D33" s="2" t="inlineStr"/>
    </row>
    <row r="34">
      <c r="A34" s="2" t="inlineStr">
        <is>
          <t>6 進め方</t>
        </is>
      </c>
      <c r="B34" s="2" t="inlineStr">
        <is>
          <t>⑥ 検証（8/15〜）</t>
        </is>
      </c>
      <c r="C34" s="2" t="inlineStr">
        <is>
          <t>その結果を確認表の「検証結果」に転記する</t>
        </is>
      </c>
      <c r="D34" s="2" t="inlineStr"/>
    </row>
    <row r="35">
      <c r="A35" s="2" t="inlineStr">
        <is>
          <t>6 進め方</t>
        </is>
      </c>
      <c r="B35" s="2" t="inlineStr">
        <is>
          <t>⑦ 判定（8/16）</t>
        </is>
      </c>
      <c r="C35" s="2" t="inlineStr">
        <is>
          <t>確認表の「判定」に 合格／不合格 を記入する</t>
        </is>
      </c>
      <c r="D35" s="2" t="inlineStr"/>
    </row>
    <row r="36">
      <c r="A36" s="2" t="inlineStr">
        <is>
          <t>6 進め方</t>
        </is>
      </c>
      <c r="B36" s="2" t="inlineStr">
        <is>
          <t>⑧ 判定（8/16）</t>
        </is>
      </c>
      <c r="C36" s="2" t="inlineStr">
        <is>
          <t>progress.py で達成度とリリース可否を出す</t>
        </is>
      </c>
      <c r="D36" s="2" t="inlineStr">
        <is>
          <t>スプレッドシートの場合は集計式を使う（区分10）</t>
        </is>
      </c>
    </row>
    <row r="37">
      <c r="A37" s="2" t="inlineStr">
        <is>
          <t>7 確認方法</t>
        </is>
      </c>
      <c r="B37" s="2" t="inlineStr">
        <is>
          <t>動作確認（検証プラン）73件</t>
        </is>
      </c>
      <c r="C37" s="2" t="inlineStr">
        <is>
          <t>検証プランの手順どおりに操作し、結果を見る</t>
        </is>
      </c>
      <c r="D37" s="2" t="inlineStr"/>
    </row>
    <row r="38">
      <c r="A38" s="2" t="inlineStr">
        <is>
          <t>7 確認方法</t>
        </is>
      </c>
      <c r="B38" s="2" t="inlineStr">
        <is>
          <t>動作確認＋DB確認 3件</t>
        </is>
      </c>
      <c r="C38" s="2" t="inlineStr">
        <is>
          <t>画面だけでは分からない。DBを直接見る</t>
        </is>
      </c>
      <c r="D38" s="2" t="inlineStr">
        <is>
          <t>AC-044 失敗行が残らない／AC-052 コードの全社ユニーク／AC-051 全列の反映</t>
        </is>
      </c>
    </row>
    <row r="39">
      <c r="A39" s="2" t="inlineStr">
        <is>
          <t>7 確認方法</t>
        </is>
      </c>
      <c r="B39" s="2" t="inlineStr">
        <is>
          <t>実装レビュー 9件</t>
        </is>
      </c>
      <c r="C39" s="2" t="inlineStr">
        <is>
          <t>動かしても分からない。成果物そのものを開いて突き合わせる</t>
        </is>
      </c>
      <c r="D39" s="2" t="inlineStr">
        <is>
          <t>AC-002/003/004 配布テンプレの列／AC-058 モーダルとの項目突合／AC-081/082 対象外／AC-005/007/008 前提</t>
        </is>
      </c>
    </row>
    <row r="40">
      <c r="A40" s="2" t="inlineStr">
        <is>
          <t>8 リリース判断</t>
        </is>
      </c>
      <c r="B40" s="2" t="inlineStr">
        <is>
          <t>MVP必須44件がすべて合格</t>
        </is>
      </c>
      <c r="C40" s="2" t="inlineStr">
        <is>
          <t>リリース可</t>
        </is>
      </c>
      <c r="D40" s="2" t="inlineStr"/>
    </row>
    <row r="41">
      <c r="A41" s="2" t="inlineStr">
        <is>
          <t>8 リリース判断</t>
        </is>
      </c>
      <c r="B41" s="2" t="inlineStr">
        <is>
          <t>MVP必須に不合格がある</t>
        </is>
      </c>
      <c r="C41" s="2" t="inlineStr">
        <is>
          <t>リリース不可</t>
        </is>
      </c>
      <c r="D41" s="2" t="inlineStr">
        <is>
          <t>修正して再検証</t>
        </is>
      </c>
    </row>
    <row r="42">
      <c r="A42" s="2" t="inlineStr">
        <is>
          <t>8 リリース判断</t>
        </is>
      </c>
      <c r="B42" s="2" t="inlineStr">
        <is>
          <t>リリース必須に不合格がある</t>
        </is>
      </c>
      <c r="C42" s="2" t="inlineStr">
        <is>
          <t>影響を確認して判断</t>
        </is>
      </c>
      <c r="D42" s="2" t="inlineStr">
        <is>
          <t>回避策を案内できるなら可</t>
        </is>
      </c>
    </row>
    <row r="43">
      <c r="A43" s="2" t="inlineStr">
        <is>
          <t>8 リリース判断</t>
        </is>
      </c>
      <c r="B43" s="2" t="inlineStr">
        <is>
          <t>改善のみ不合格</t>
        </is>
      </c>
      <c r="C43" s="2" t="inlineStr">
        <is>
          <t>リリース可</t>
        </is>
      </c>
      <c r="D43" s="2" t="inlineStr">
        <is>
          <t>次回に回す</t>
        </is>
      </c>
    </row>
    <row r="44">
      <c r="A44" s="2" t="inlineStr">
        <is>
          <t>9 迷ったとき</t>
        </is>
      </c>
      <c r="B44" s="2" t="inlineStr">
        <is>
          <t>未実装か不具合か分からない</t>
        </is>
      </c>
      <c r="C44" s="2" t="inlineStr">
        <is>
          <t>実装状況を先に埋める</t>
        </is>
      </c>
      <c r="D44" s="2" t="inlineStr">
        <is>
          <t>×（未実装）なら不具合ではない</t>
        </is>
      </c>
    </row>
    <row r="45">
      <c r="A45" s="2" t="inlineStr">
        <is>
          <t>9 迷ったとき</t>
        </is>
      </c>
      <c r="B45" s="2" t="inlineStr">
        <is>
          <t>一部だけ満たしている</t>
        </is>
      </c>
      <c r="C45" s="2" t="inlineStr">
        <is>
          <t>実装状況は △、判定は 不合格</t>
        </is>
      </c>
      <c r="D45" s="2" t="inlineStr">
        <is>
          <t>合格ラインは「〜＝0件」の形。部分達成は合格にならない。メモに不足を書く</t>
        </is>
      </c>
    </row>
    <row r="46">
      <c r="A46" s="2" t="inlineStr">
        <is>
          <t>9 迷ったとき</t>
        </is>
      </c>
      <c r="B46" s="2" t="inlineStr">
        <is>
          <t>1つの検証が複数条件の根拠（22件）</t>
        </is>
      </c>
      <c r="C46" s="2" t="inlineStr">
        <is>
          <t>検証は1回、判定は条件ごと</t>
        </is>
      </c>
      <c r="D46" s="2" t="inlineStr">
        <is>
          <t>例: OP-503 は AC-043・AC-044・AC-046 の根拠</t>
        </is>
      </c>
    </row>
    <row r="47">
      <c r="A47" s="2" t="inlineStr">
        <is>
          <t>9 迷ったとき</t>
        </is>
      </c>
      <c r="B47" s="2" t="inlineStr">
        <is>
          <t>合格ラインが実装と食い違う</t>
        </is>
      </c>
      <c r="C47" s="2" t="inlineStr">
        <is>
          <t>実装を直すのが原則</t>
        </is>
      </c>
      <c r="D47" s="2" t="inlineStr">
        <is>
          <t>仕様の誤りなら定義表と仕様書の両方を直し、理由を JUDGMENT_LOG.md に残す</t>
        </is>
      </c>
    </row>
    <row r="48">
      <c r="A48" s="2" t="inlineStr">
        <is>
          <t>10 スプレッドシート</t>
        </is>
      </c>
      <c r="B48" s="2" t="inlineStr">
        <is>
          <t>アップロード</t>
        </is>
      </c>
      <c r="C48" s="2" t="inlineStr">
        <is>
          <t>ファイル → インポート → アップロード → 区切り文字は自動検出</t>
        </is>
      </c>
      <c r="D48" s="2" t="inlineStr">
        <is>
          <t>.tsv をそのまま上げられる</t>
        </is>
      </c>
    </row>
    <row r="49">
      <c r="A49" s="2" t="inlineStr">
        <is>
          <t>10 スプレッドシート</t>
        </is>
      </c>
      <c r="B49" s="2" t="inlineStr">
        <is>
          <t>入力規則（実装状況）</t>
        </is>
      </c>
      <c r="C49" s="2" t="inlineStr">
        <is>
          <t>○ / △ / ×</t>
        </is>
      </c>
      <c r="D49" s="2" t="inlineStr"/>
    </row>
    <row r="50">
      <c r="A50" s="2" t="inlineStr">
        <is>
          <t>10 スプレッドシート</t>
        </is>
      </c>
      <c r="B50" s="2" t="inlineStr">
        <is>
          <t>入力規則（判定）</t>
        </is>
      </c>
      <c r="C50" s="2" t="inlineStr">
        <is>
          <t>合格 / 不合格</t>
        </is>
      </c>
      <c r="D50" s="2" t="inlineStr"/>
    </row>
    <row r="51">
      <c r="A51" s="2" t="inlineStr">
        <is>
          <t>10 スプレッドシート</t>
        </is>
      </c>
      <c r="B51" s="2" t="inlineStr">
        <is>
          <t>MVP必須の合格数</t>
        </is>
      </c>
      <c r="C51" s="2">
        <f>COUNTIFS(確認表!C:C,"MVP必須",確認表!L:L,"合格")</f>
        <v/>
      </c>
      <c r="D51" s="2" t="inlineStr"/>
    </row>
    <row r="52">
      <c r="A52" s="2" t="inlineStr">
        <is>
          <t>10 スプレッドシート</t>
        </is>
      </c>
      <c r="B52" s="2" t="inlineStr">
        <is>
          <t>MVP必須の総数</t>
        </is>
      </c>
      <c r="C52" s="2">
        <f>COUNTIF(確認表!C:C,"MVP必須")</f>
        <v/>
      </c>
      <c r="D52" s="2" t="inlineStr"/>
    </row>
    <row r="53">
      <c r="A53" s="2" t="inlineStr">
        <is>
          <t>10 スプレッドシート</t>
        </is>
      </c>
      <c r="B53" s="2" t="inlineStr">
        <is>
          <t>M1の達成度</t>
        </is>
      </c>
      <c r="C53" s="2">
        <f>COUNTIFS(確認表!D:D,"M1",確認表!C:C,"MVP必須",確認表!L:L,"合格")</f>
        <v/>
      </c>
      <c r="D53" s="2" t="inlineStr">
        <is>
          <t>M1をM2〜M6に変えて使う</t>
        </is>
      </c>
    </row>
    <row r="54">
      <c r="A54" s="2" t="inlineStr">
        <is>
          <t>11 関連ファイル</t>
        </is>
      </c>
      <c r="B54" s="2" t="inlineStr">
        <is>
          <t>20260804_受け入れ条件_定義表.tsv</t>
        </is>
      </c>
      <c r="C54" s="2" t="inlineStr">
        <is>
          <t>何を守るか・なぜか（88件）</t>
        </is>
      </c>
      <c r="D54" s="2" t="inlineStr"/>
    </row>
    <row r="55">
      <c r="A55" s="2" t="inlineStr">
        <is>
          <t>11 関連ファイル</t>
        </is>
      </c>
      <c r="B55" s="2" t="inlineStr">
        <is>
          <t>20260804_受け入れ条件_確認表.tsv</t>
        </is>
      </c>
      <c r="C55" s="2" t="inlineStr">
        <is>
          <t>実装が条件に合致しているかの判定（88件）</t>
        </is>
      </c>
      <c r="D55" s="2" t="inlineStr"/>
    </row>
    <row r="56">
      <c r="A56" s="2" t="inlineStr">
        <is>
          <t>11 関連ファイル</t>
        </is>
      </c>
      <c r="B56" s="2" t="inlineStr">
        <is>
          <t>20260804_実装マイルストーン表.tsv</t>
        </is>
      </c>
      <c r="C56" s="2" t="inlineStr">
        <is>
          <t>M1〜M6の実装順序と完了条件</t>
        </is>
      </c>
      <c r="D56" s="2" t="inlineStr"/>
    </row>
    <row r="57">
      <c r="A57" s="2" t="inlineStr">
        <is>
          <t>11 関連ファイル</t>
        </is>
      </c>
      <c r="B57" s="2" t="inlineStr">
        <is>
          <t>20260803_検証プラン_操作系.tsv</t>
        </is>
      </c>
      <c r="C57" s="2" t="inlineStr">
        <is>
          <t>操作する検証（66件）</t>
        </is>
      </c>
      <c r="D57" s="2" t="inlineStr"/>
    </row>
    <row r="58">
      <c r="A58" s="2" t="inlineStr">
        <is>
          <t>11 関連ファイル</t>
        </is>
      </c>
      <c r="B58" s="2" t="inlineStr">
        <is>
          <t>20260803_検証プラン_計算系.tsv</t>
        </is>
      </c>
      <c r="C58" s="2" t="inlineStr">
        <is>
          <t>数値・上限の検証（19件）</t>
        </is>
      </c>
      <c r="D58" s="2" t="inlineStr"/>
    </row>
    <row r="59">
      <c r="A59" s="2" t="inlineStr">
        <is>
          <t>11 関連ファイル</t>
        </is>
      </c>
      <c r="B59" s="2" t="inlineStr">
        <is>
          <t>20260803_検証用データセット.tsv</t>
        </is>
      </c>
      <c r="C59" s="2" t="inlineStr">
        <is>
          <t>検証に使うデータ（36件）</t>
        </is>
      </c>
      <c r="D59" s="2" t="inlineStr">
        <is>
          <t>D0は事前準備、D1〜D5はCSVに入力する値</t>
        </is>
      </c>
    </row>
    <row r="60">
      <c r="A60" s="2" t="inlineStr">
        <is>
          <t>11 関連ファイル</t>
        </is>
      </c>
      <c r="B60" s="2" t="inlineStr">
        <is>
          <t>20260803_CSV一括登録機能_仕様書（PdM向け）.md</t>
        </is>
      </c>
      <c r="C60" s="2" t="inlineStr">
        <is>
          <t>設計意図。§8.2 に判断基準</t>
        </is>
      </c>
      <c r="D60" s="2" t="inlineStr"/>
    </row>
    <row r="61">
      <c r="A61" s="2" t="inlineStr">
        <is>
          <t>11 関連ファイル</t>
        </is>
      </c>
      <c r="B61" s="2" t="inlineStr">
        <is>
          <t>モック（CSVインポート）</t>
        </is>
      </c>
      <c r="C61" s="2" t="inlineStr">
        <is>
          <t>https://suguru789987.github.io/rakmy-timerecord-import-spec/</t>
        </is>
      </c>
      <c r="D61" s="2" t="inlineStr"/>
    </row>
    <row r="62">
      <c r="A62" s="2" t="inlineStr">
        <is>
          <t>11 関連ファイル</t>
        </is>
      </c>
      <c r="B62" s="2" t="inlineStr">
        <is>
          <t>モック（手入力）</t>
        </is>
      </c>
      <c r="C62" s="2" t="inlineStr">
        <is>
          <t>https://suguru789987.github.io/rakmy-owner-registration-mock/</t>
        </is>
      </c>
      <c r="D62" s="2" t="inlineStr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