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'受入条件表'!$A$28:$S$116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I5" s="5" t="inlineStr">
        <is>
          <t>未判定</t>
        </is>
      </c>
      <c r="J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COUNTIFS($A$29:$A$116,$A6,$P$29:$P$116,"OK")</f>
        <v/>
      </c>
      <c r="G6" s="6">
        <f>COUNTIFS($A$29:$A$116,$A6,$P$29:$P$116,"NG")</f>
        <v/>
      </c>
      <c r="I6" s="6">
        <f>E6-F6-G6</f>
        <v/>
      </c>
      <c r="J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COUNTIFS($A$29:$A$116,$A7,$P$29:$P$116,"OK")</f>
        <v/>
      </c>
      <c r="G7" s="6">
        <f>COUNTIFS($A$29:$A$116,$A7,$P$29:$P$116,"NG")</f>
        <v/>
      </c>
      <c r="I7" s="6">
        <f>E7-F7-G7</f>
        <v/>
      </c>
      <c r="J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COUNTIFS($A$29:$A$116,$A8,$P$29:$P$116,"OK")</f>
        <v/>
      </c>
      <c r="G8" s="6">
        <f>COUNTIFS($A$29:$A$116,$A8,$P$29:$P$116,"NG")</f>
        <v/>
      </c>
      <c r="I8" s="6">
        <f>E8-F8-G8</f>
        <v/>
      </c>
      <c r="J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COUNTIFS($A$29:$A$116,$A9,$P$29:$P$116,"OK")</f>
        <v/>
      </c>
      <c r="G9" s="6">
        <f>COUNTIFS($A$29:$A$116,$A9,$P$29:$P$116,"NG")</f>
        <v/>
      </c>
      <c r="I9" s="6">
        <f>E9-F9-G9</f>
        <v/>
      </c>
      <c r="J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COUNTIFS($A$29:$A$116,$A10,$P$29:$P$116,"OK")</f>
        <v/>
      </c>
      <c r="G10" s="6">
        <f>COUNTIFS($A$29:$A$116,$A10,$P$29:$P$116,"NG")</f>
        <v/>
      </c>
      <c r="I10" s="6">
        <f>E10-F10-G10</f>
        <v/>
      </c>
      <c r="J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COUNTIFS($A$29:$A$116,$A11,$P$29:$P$116,"OK")</f>
        <v/>
      </c>
      <c r="G11" s="6">
        <f>COUNTIFS($A$29:$A$116,$A11,$P$29:$P$116,"NG")</f>
        <v/>
      </c>
      <c r="I11" s="6">
        <f>E11-F11-G11</f>
        <v/>
      </c>
      <c r="J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COUNTIFS($A$29:$A$116,$A12,$P$29:$P$116,"OK")</f>
        <v/>
      </c>
      <c r="G12" s="6">
        <f>COUNTIFS($A$29:$A$116,$A12,$P$29:$P$116,"NG")</f>
        <v/>
      </c>
      <c r="I12" s="6">
        <f>E12-F12-G12</f>
        <v/>
      </c>
      <c r="J12" s="7">
        <f>IF(E12=0,"",F12/E12)</f>
        <v/>
      </c>
    </row>
    <row r="13">
      <c r="A13" s="8" t="inlineStr">
        <is>
          <t>総合判定</t>
        </is>
      </c>
      <c r="B13" s="8">
        <f>IF(COUNTIFS($E$29:$E$116,"MVP必須",$P$29:$P$116,"NG")&gt;0,"MVP未達（MVP必須のNG "&amp;COUNTIFS($E$29:$E$116,"MVP必須",$P$29:$P$116,"NG")&amp;"件）── リリース不可",IF((COUNTIF($E$29:$E$116,"MVP必須")-COUNTIFS($E$29:$E$116,"MVP必須",$P$29:$P$116,"OK")-COUNTIFS($E$29:$E$116,"MVP必須",$P$29:$P$116,"NG"))&gt;0,"判定未完了（MVP必須の残 "&amp;(COUNTIF($E$29:$E$116,"MVP必須")-COUNTIFS($E$29:$E$116,"MVP必須",$P$29:$P$116,"OK")-COUNTIFS($E$29:$E$116,"MVP必須",$P$29:$P$116,"NG"))&amp;"件）",IF(COUNTIFS($E$29:$E$116,"リリース必須",$P$29:$P$116,"NG")&gt;0,"MVP到達。リリース必須にNGあり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I13" s="6" t="n"/>
      <c r="J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I15" s="5" t="inlineStr">
        <is>
          <t>未判定</t>
        </is>
      </c>
      <c r="J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COUNTIFS($I$29:$I$116,"*1*",$P$29:$P$116,"OK")</f>
        <v/>
      </c>
      <c r="G16" s="6">
        <f>COUNTIFS($I$29:$I$116,"*1*",$P$29:$P$116,"NG")</f>
        <v/>
      </c>
      <c r="I16" s="6">
        <f>E16-F16-G16</f>
        <v/>
      </c>
      <c r="J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COUNTIFS($I$29:$I$116,"*2*",$P$29:$P$116,"OK")</f>
        <v/>
      </c>
      <c r="G17" s="6">
        <f>COUNTIFS($I$29:$I$116,"*2*",$P$29:$P$116,"NG")</f>
        <v/>
      </c>
      <c r="I17" s="6">
        <f>E17-F17-G17</f>
        <v/>
      </c>
      <c r="J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COUNTIFS($I$29:$I$116,"*3*",$P$29:$P$116,"OK")</f>
        <v/>
      </c>
      <c r="G18" s="6">
        <f>COUNTIFS($I$29:$I$116,"*3*",$P$29:$P$116,"NG")</f>
        <v/>
      </c>
      <c r="I18" s="6">
        <f>E18-F18-G18</f>
        <v/>
      </c>
      <c r="J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COUNTIFS($I$29:$I$116,"*4*",$P$29:$P$116,"OK")</f>
        <v/>
      </c>
      <c r="G19" s="6">
        <f>COUNTIFS($I$29:$I$116,"*4*",$P$29:$P$116,"NG")</f>
        <v/>
      </c>
      <c r="I19" s="6">
        <f>E19-F19-G19</f>
        <v/>
      </c>
      <c r="J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I21" s="5" t="inlineStr">
        <is>
          <t>未判定</t>
        </is>
      </c>
      <c r="J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COUNTIFS($E$29:$E$116,$A22,$P$29:$P$116,"OK")</f>
        <v/>
      </c>
      <c r="G22" s="6">
        <f>COUNTIFS($E$29:$E$116,$A22,$P$29:$P$116,"NG")</f>
        <v/>
      </c>
      <c r="I22" s="6">
        <f>E22-F22-G22</f>
        <v/>
      </c>
      <c r="J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COUNTIFS($E$29:$E$116,$A23,$P$29:$P$116,"OK")</f>
        <v/>
      </c>
      <c r="G23" s="6">
        <f>COUNTIFS($E$29:$E$116,$A23,$P$29:$P$116,"NG")</f>
        <v/>
      </c>
      <c r="I23" s="6">
        <f>E23-F23-G23</f>
        <v/>
      </c>
      <c r="J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COUNTIFS($E$29:$E$116,$A24,$P$29:$P$116,"OK")</f>
        <v/>
      </c>
      <c r="G24" s="6">
        <f>COUNTIFS($E$29:$E$116,$A24,$P$29:$P$116,"NG")</f>
        <v/>
      </c>
      <c r="I24" s="6">
        <f>E24-F24-G24</f>
        <v/>
      </c>
      <c r="J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COUNTIFS($E$29:$E$116,$A25,$P$29:$P$116,"OK")</f>
        <v/>
      </c>
      <c r="G25" s="6">
        <f>COUNTIFS($E$29:$E$116,$A25,$P$29:$P$116,"NG")</f>
        <v/>
      </c>
      <c r="I25" s="6">
        <f>E25-F25-G25</f>
        <v/>
      </c>
      <c r="J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前提となる条件</t>
        </is>
      </c>
      <c r="I28" s="9" t="inlineStr">
        <is>
          <t>実装できていないと起きること</t>
        </is>
      </c>
      <c r="J28" s="9" t="inlineStr">
        <is>
          <t>フロー</t>
        </is>
      </c>
      <c r="K28" s="9" t="inlineStr">
        <is>
          <t>確認する画面</t>
        </is>
      </c>
      <c r="L28" s="9" t="inlineStr">
        <is>
          <t>確認方法</t>
        </is>
      </c>
      <c r="M28" s="9" t="inlineStr">
        <is>
          <t>仕様書の根拠</t>
        </is>
      </c>
      <c r="N28" s="9" t="inlineStr">
        <is>
          <t>対応検証ID</t>
        </is>
      </c>
      <c r="O28" s="9" t="inlineStr">
        <is>
          <t>ヘルプ該当箇所</t>
        </is>
      </c>
      <c r="P28" s="9" t="inlineStr">
        <is>
          <t>合否</t>
        </is>
      </c>
      <c r="Q28" s="9" t="inlineStr">
        <is>
          <t>実測値</t>
        </is>
      </c>
      <c r="R28" s="9" t="inlineStr">
        <is>
          <t>判定者</t>
        </is>
      </c>
      <c r="S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20" t="inlineStr">
        <is>
          <t>—</t>
        </is>
      </c>
      <c r="I29" s="10" t="inlineStr">
        <is>
          <r>
            <rPr>
              <b val="1"/>
              <sz val="10"/>
            </rPr>
            <t>テンプレートが文字化けし、そもそも入力できない</t>
          </r>
        </is>
      </c>
      <c r="J29" s="12" t="inlineStr">
        <is>
          <t>2</t>
        </is>
      </c>
      <c r="K29" s="10" t="inlineStr">
        <is>
          <t>インポート</t>
        </is>
      </c>
      <c r="L29" s="10" t="inlineStr">
        <is>
          <t>動作確認（検証プラン）</t>
        </is>
      </c>
      <c r="M29" s="10" t="inlineStr">
        <is>
          <t>README §9.5</t>
        </is>
      </c>
      <c r="N29" s="10" t="inlineStr">
        <is>
          <t>OP-101</t>
        </is>
      </c>
      <c r="O29" s="20" t="inlineStr">
        <is>
          <t>6番 テンプレートをダウンロードする（サンプル行・CSV UTF-8で保存）</t>
        </is>
      </c>
      <c r="P29" s="13" t="inlineStr"/>
      <c r="Q29" s="13" t="inlineStr"/>
      <c r="R29" s="13" t="inlineStr"/>
      <c r="S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20" t="inlineStr">
        <is>
          <t>—</t>
        </is>
      </c>
      <c r="I30" s="10" t="inlineStr">
        <is>
          <r>
            <rPr>
              <b val="1"/>
              <sz val="10"/>
            </rPr>
            <t>サンプルのコードが他社と衝突する。</t>
          </r>
          <r>
            <rPr>
              <sz val="10"/>
            </rPr>
            <t xml:space="preserve"> 全社横断でユニークなため</t>
          </r>
        </is>
      </c>
      <c r="J30" s="12" t="inlineStr">
        <is>
          <t>2</t>
        </is>
      </c>
      <c r="K30" s="10" t="inlineStr">
        <is>
          <t>インポート</t>
        </is>
      </c>
      <c r="L30" s="10" t="inlineStr">
        <is>
          <t>実装レビュー（配布テンプレート）</t>
        </is>
      </c>
      <c r="M30" s="10" t="inlineStr">
        <is>
          <t>README §8.1</t>
        </is>
      </c>
      <c r="N30" s="10" t="inlineStr">
        <is>
          <t>OP-101</t>
        </is>
      </c>
      <c r="O30" s="20" t="inlineStr">
        <is>
          <t>6番 テンプレートをダウンロードする（サンプル行・CSV UTF-8で保存）</t>
        </is>
      </c>
      <c r="P30" s="13" t="inlineStr"/>
      <c r="Q30" s="13" t="inlineStr"/>
      <c r="R30" s="13" t="inlineStr"/>
      <c r="S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20" t="inlineStr">
        <is>
          <t>—</t>
        </is>
      </c>
      <c r="I31" s="10" t="inlineStr">
        <is>
          <r>
            <rPr>
              <b val="1"/>
              <sz val="10"/>
            </rPr>
            <t>上限超過のまま処理が走り、タイムアウトや部分登録が起きる</t>
          </r>
        </is>
      </c>
      <c r="J31" s="12" t="inlineStr">
        <is>
          <t>2 / 4</t>
        </is>
      </c>
      <c r="K31" s="10" t="inlineStr">
        <is>
          <t>アップロード</t>
        </is>
      </c>
      <c r="L31" s="10" t="inlineStr">
        <is>
          <t>動作確認（検証プラン）</t>
        </is>
      </c>
      <c r="M31" s="10" t="inlineStr">
        <is>
          <t>README §7.5</t>
        </is>
      </c>
      <c r="N31" s="10" t="inlineStr">
        <is>
          <t>CA-001 / CA-003 / CA-005 / OP-211 / OP-213</t>
        </is>
      </c>
      <c r="O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P31" s="13" t="inlineStr"/>
      <c r="Q31" s="13" t="inlineStr"/>
      <c r="R31" s="13" t="inlineStr"/>
      <c r="S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OP-214（文字コード不正）「文字コードがUTF-8ではない可能性があります」と表示される ／ OP-215（列名不一致）「テンプレートの列が一致しません」と表示され、必要な列と見つかった列が併記される ／ OP-216（データ0件）「取り込めるデータがありません」と表示される</t>
        </is>
      </c>
      <c r="H32" s="20" t="inlineStr">
        <is>
          <t>—</t>
        </is>
      </c>
      <c r="I32" s="10" t="inlineStr">
        <is>
          <r>
            <rPr>
              <b val="1"/>
              <sz val="10"/>
            </rPr>
            <t>壊れたファイルがプレビューまで進み、意味不明なエラーが大量に出る</t>
          </r>
        </is>
      </c>
      <c r="J32" s="12" t="inlineStr">
        <is>
          <t>2 / 4</t>
        </is>
      </c>
      <c r="K32" s="10" t="inlineStr">
        <is>
          <t>アップロード</t>
        </is>
      </c>
      <c r="L32" s="10" t="inlineStr">
        <is>
          <t>動作確認（検証プラン）</t>
        </is>
      </c>
      <c r="M32" s="10" t="inlineStr">
        <is>
          <t>README §9.5</t>
        </is>
      </c>
      <c r="N32" s="10" t="inlineStr">
        <is>
          <t>OP-214 / OP-215 / OP-216</t>
        </is>
      </c>
      <c r="O32" s="20" t="inlineStr">
        <is>
          <t>11番 ファイルが受け付けられない場合（文字コード） ／ 6番 CSV UTF-8 ／ 11番 ファイルが受け付けられない場合（テンプレートの列が一致しません） ／ 11番 ファイルが受け付けられない場合（取り込めるデータが1件もありません）</t>
        </is>
      </c>
      <c r="P32" s="13" t="inlineStr"/>
      <c r="Q32" s="13" t="inlineStr"/>
      <c r="R32" s="13" t="inlineStr"/>
      <c r="S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20" t="inlineStr">
        <is>
          <t>—</t>
        </is>
      </c>
      <c r="I33" s="10" t="inlineStr">
        <is>
          <r>
            <rPr>
              <b val="1"/>
              <sz val="10"/>
            </rPr>
            <t>参照先が未登録で全行エラーになる。</t>
          </r>
          <r>
            <rPr>
              <sz val="10"/>
            </rPr>
            <t xml:space="preserve"> 顧客は原因が分からない</t>
          </r>
        </is>
      </c>
      <c r="J33" s="12" t="inlineStr">
        <is>
          <t>2</t>
        </is>
      </c>
      <c r="K33" s="10" t="inlineStr">
        <is>
          <t>プレビュー</t>
        </is>
      </c>
      <c r="L33" s="10" t="inlineStr">
        <is>
          <t>動作確認（検証プラン）</t>
        </is>
      </c>
      <c r="M33" s="10" t="inlineStr">
        <is>
          <t>README §1.3</t>
        </is>
      </c>
      <c r="N33" s="10" t="inlineStr">
        <is>
          <t>OP-201 / OP-202</t>
        </is>
      </c>
      <c r="O33" s="20" t="inlineStr">
        <is>
          <t>1番 はじめて登録するときの順番 ／ 11番 よくあるエラー</t>
        </is>
      </c>
      <c r="P33" s="13" t="inlineStr"/>
      <c r="Q33" s="13" t="inlineStr"/>
      <c r="R33" s="13" t="inlineStr"/>
      <c r="S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20" t="inlineStr">
        <is>
          <t>—</t>
        </is>
      </c>
      <c r="I34" s="10" t="inlineStr">
        <is>
          <r>
            <rPr>
              <b val="1"/>
              <sz val="10"/>
            </rPr>
            <t>分割が必要だと1件ずつ入力するのと手間が変わらず、機能の価値が消える。</t>
          </r>
          <r>
            <rPr>
              <sz val="10"/>
            </rPr>
            <t xml:space="preserve"> 上限が実運用の規模に足りているかの確認</t>
          </r>
        </is>
      </c>
      <c r="J34" s="12" t="inlineStr">
        <is>
          <t>2 / 4</t>
        </is>
      </c>
      <c r="K34" s="10" t="inlineStr">
        <is>
          <t>アップロード</t>
        </is>
      </c>
      <c r="L34" s="10" t="inlineStr">
        <is>
          <t>動作確認（検証プラン）</t>
        </is>
      </c>
      <c r="M34" s="10" t="inlineStr">
        <is>
          <t>仕様書 1.1 何を解決しているか／README §7.5</t>
        </is>
      </c>
      <c r="N34" s="10" t="inlineStr">
        <is>
          <t>OP-620 / CA-003</t>
        </is>
      </c>
      <c r="O34" s="20" t="inlineStr">
        <is>
          <t>3番 はじめて登録する方へ（CSVで一括登録） ／ 10番 招待メールを送る ／ 6番 1回に取り込める量（200行）</t>
        </is>
      </c>
      <c r="P34" s="13" t="inlineStr"/>
      <c r="Q34" s="13" t="inlineStr"/>
      <c r="R34" s="13" t="inlineStr"/>
      <c r="S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20" t="inlineStr">
        <is>
          <t>—</t>
        </is>
      </c>
      <c r="I35" s="10" t="inlineStr">
        <is>
          <r>
            <rPr>
              <b val="1"/>
              <sz val="10"/>
            </rPr>
            <t>参照先が無い状態で登録され、データが繋がらない。</t>
          </r>
          <r>
            <rPr>
              <sz val="10"/>
            </rPr>
            <t xml:space="preserve"> インポートの順序依存と同じ問題</t>
          </r>
        </is>
      </c>
      <c r="J35" s="14" t="inlineStr">
        <is>
          <t>1</t>
        </is>
      </c>
      <c r="K35" s="10" t="inlineStr">
        <is>
          <t>初期セットアップ</t>
        </is>
      </c>
      <c r="L35" s="10" t="inlineStr">
        <is>
          <t>動作確認（検証プラン）</t>
        </is>
      </c>
      <c r="M35" s="10" t="inlineStr">
        <is>
          <t>owner-mock §5.3 順序ガード</t>
        </is>
      </c>
      <c r="N35" s="10" t="inlineStr">
        <is>
          <t>OP-022</t>
        </is>
      </c>
      <c r="O35" s="20" t="inlineStr">
        <is>
          <t>1番 はじめて登録するときの順番（順番を飛ばすと登録できません）</t>
        </is>
      </c>
      <c r="P35" s="13" t="inlineStr"/>
      <c r="Q35" s="13" t="inlineStr"/>
      <c r="R35" s="13" t="inlineStr"/>
      <c r="S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20" t="inlineStr">
        <is>
          <t>—</t>
        </is>
      </c>
      <c r="I36" s="10" t="inlineStr">
        <is>
          <r>
            <rPr>
              <b val="1"/>
              <sz val="10"/>
            </rPr>
            <t>運用開始後も初期セットアップ画面が出続ける。</t>
          </r>
          <r>
            <rPr>
              <sz val="10"/>
            </rPr>
            <t xml:space="preserve"> 順序ガードが残り、追加登録ができない</t>
          </r>
        </is>
      </c>
      <c r="J36" s="14" t="inlineStr">
        <is>
          <t>1 / 3</t>
        </is>
      </c>
      <c r="K36" s="10" t="inlineStr">
        <is>
          <t>各設定画面</t>
        </is>
      </c>
      <c r="L36" s="10" t="inlineStr">
        <is>
          <t>動作確認（検証プラン）</t>
        </is>
      </c>
      <c r="M36" s="10" t="inlineStr">
        <is>
          <t>owner-mock §3.3</t>
        </is>
      </c>
      <c r="N36" s="10" t="inlineStr">
        <is>
          <t>OP-025</t>
        </is>
      </c>
      <c r="O36" s="20" t="inlineStr">
        <is>
          <t>—</t>
        </is>
      </c>
      <c r="P36" s="13" t="inlineStr"/>
      <c r="Q36" s="13" t="inlineStr"/>
      <c r="R36" s="13" t="inlineStr"/>
      <c r="S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20" t="inlineStr">
        <is>
          <t>—</t>
        </is>
      </c>
      <c r="I37" s="10" t="inlineStr">
        <is>
          <r>
            <rPr>
              <b val="1"/>
              <sz val="10"/>
            </rPr>
            <t>セルフスタートの入口が動かない。</t>
          </r>
          <r>
            <rPr>
              <sz val="10"/>
            </rPr>
            <t xml:space="preserve"> CSVインポートも同じ画面から入るため全体が止まる</t>
          </r>
        </is>
      </c>
      <c r="J37" s="14" t="inlineStr">
        <is>
          <t>1</t>
        </is>
      </c>
      <c r="K37" s="10" t="inlineStr">
        <is>
          <t>初期セットアップ／業態設定</t>
        </is>
      </c>
      <c r="L37" s="10" t="inlineStr">
        <is>
          <t>動作確認（検証プラン）</t>
        </is>
      </c>
      <c r="M37" s="10" t="inlineStr">
        <is>
          <t>owner-mock §3.3.2</t>
        </is>
      </c>
      <c r="N37" s="10" t="inlineStr">
        <is>
          <t>OP-021</t>
        </is>
      </c>
      <c r="O37" s="20" t="inlineStr">
        <is>
          <t>2番 登録の手順</t>
        </is>
      </c>
      <c r="P37" s="13" t="inlineStr"/>
      <c r="Q37" s="13" t="inlineStr"/>
      <c r="R37" s="13" t="inlineStr"/>
      <c r="S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20" t="inlineStr">
        <is>
          <t>—</t>
        </is>
      </c>
      <c r="I38" s="10" t="inlineStr">
        <is>
          <t>存在しない権限列を顧客が埋め、混乱する</t>
        </is>
      </c>
      <c r="J38" s="12" t="inlineStr">
        <is>
          <t>2</t>
        </is>
      </c>
      <c r="K38" s="10" t="inlineStr">
        <is>
          <t>インポート</t>
        </is>
      </c>
      <c r="L38" s="10" t="inlineStr">
        <is>
          <t>実装レビュー（配布テンプレート）</t>
        </is>
      </c>
      <c r="M38" s="10" t="inlineStr">
        <is>
          <t>README §7.4</t>
        </is>
      </c>
      <c r="N38" s="10" t="inlineStr">
        <is>
          <t>OP-101</t>
        </is>
      </c>
      <c r="O38" s="20" t="inlineStr">
        <is>
          <t>6番 テンプレートをダウンロードする（サンプル行・CSV UTF-8で保存）</t>
        </is>
      </c>
      <c r="P38" s="13" t="inlineStr"/>
      <c r="Q38" s="13" t="inlineStr"/>
      <c r="R38" s="13" t="inlineStr"/>
      <c r="S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20" t="inlineStr">
        <is>
          <t>—</t>
        </is>
      </c>
      <c r="I39" s="10" t="inlineStr">
        <is>
          <t>列構成がDBと合わず取り込めない</t>
        </is>
      </c>
      <c r="J39" s="12" t="inlineStr">
        <is>
          <t>2</t>
        </is>
      </c>
      <c r="K39" s="10" t="inlineStr">
        <is>
          <t>インポート</t>
        </is>
      </c>
      <c r="L39" s="10" t="inlineStr">
        <is>
          <t>実装レビュー（配布テンプレート）</t>
        </is>
      </c>
      <c r="M39" s="10" t="inlineStr">
        <is>
          <t>README §7.3</t>
        </is>
      </c>
      <c r="N39" s="10" t="inlineStr">
        <is>
          <t>OP-101</t>
        </is>
      </c>
      <c r="O39" s="20" t="inlineStr">
        <is>
          <t>6番 テンプレートをダウンロードする（サンプル行・CSV UTF-8で保存）</t>
        </is>
      </c>
      <c r="P39" s="13" t="inlineStr"/>
      <c r="Q39" s="13" t="inlineStr"/>
      <c r="R39" s="13" t="inlineStr"/>
      <c r="S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20" t="inlineStr">
        <is>
          <t>—</t>
        </is>
      </c>
      <c r="I40" s="10" t="inlineStr">
        <is>
          <r>
            <rPr>
              <sz val="10"/>
            </rPr>
            <t>設定画面のリンクを踏んでも方式選択が再度出る。</t>
          </r>
          <r>
            <rPr>
              <b val="1"/>
              <sz val="10"/>
            </rPr>
            <t>パラメータ名が2つの仕様で食い違っている（要確定）</t>
          </r>
        </is>
      </c>
      <c r="J40" s="16" t="inlineStr">
        <is>
          <t>4</t>
        </is>
      </c>
      <c r="K40" s="10" t="inlineStr">
        <is>
          <t>業態設定→インポート</t>
        </is>
      </c>
      <c r="L40" s="10" t="inlineStr">
        <is>
          <t>動作確認（検証プラン）</t>
        </is>
      </c>
      <c r="M40" s="10" t="inlineStr">
        <is>
          <t>仕様書「連携要件A」</t>
        </is>
      </c>
      <c r="N40" s="10" t="inlineStr">
        <is>
          <t>OP-008</t>
        </is>
      </c>
      <c r="O40" s="20" t="inlineStr">
        <is>
          <t>—</t>
        </is>
      </c>
      <c r="P40" s="13" t="inlineStr"/>
      <c r="Q40" s="13" t="inlineStr"/>
      <c r="R40" s="13" t="inlineStr"/>
      <c r="S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20" t="inlineStr">
        <is>
          <t>—</t>
        </is>
      </c>
      <c r="I41" s="10" t="inlineStr">
        <is>
          <t>元の作業に戻れず、運用で使われなくなる</t>
        </is>
      </c>
      <c r="J41" s="16" t="inlineStr">
        <is>
          <t>4</t>
        </is>
      </c>
      <c r="K41" s="10" t="inlineStr">
        <is>
          <t>完了画面</t>
        </is>
      </c>
      <c r="L41" s="10" t="inlineStr">
        <is>
          <t>動作確認（検証プラン）</t>
        </is>
      </c>
      <c r="M41" s="10" t="inlineStr">
        <is>
          <t>仕様書「入口と取り込み範囲」</t>
        </is>
      </c>
      <c r="N41" s="10" t="inlineStr">
        <is>
          <t>OP-009</t>
        </is>
      </c>
      <c r="O41" s="20" t="inlineStr">
        <is>
          <t>5番 終わったあとは、入ってきた画面に戻ります</t>
        </is>
      </c>
      <c r="P41" s="13" t="inlineStr"/>
      <c r="Q41" s="13" t="inlineStr"/>
      <c r="R41" s="13" t="inlineStr"/>
      <c r="S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20" t="inlineStr">
        <is>
          <t>—</t>
        </is>
      </c>
      <c r="I42" s="10" t="inlineStr">
        <is>
          <t>拒否されたファイルが残り、取り込んだと誤解する</t>
        </is>
      </c>
      <c r="J42" s="12" t="inlineStr">
        <is>
          <t>2 / 4</t>
        </is>
      </c>
      <c r="K42" s="10" t="inlineStr">
        <is>
          <t>アップロード</t>
        </is>
      </c>
      <c r="L42" s="10" t="inlineStr">
        <is>
          <t>動作確認（検証プラン）</t>
        </is>
      </c>
      <c r="M42" s="10" t="inlineStr">
        <is>
          <t>README §9</t>
        </is>
      </c>
      <c r="N42" s="10" t="inlineStr">
        <is>
          <t>OP-211</t>
        </is>
      </c>
      <c r="O42" s="20" t="inlineStr">
        <is>
          <t>6番 1回に取り込める量（500行・200行） ／ 11番 ファイルが受け付けられない場合</t>
        </is>
      </c>
      <c r="P42" s="13" t="inlineStr"/>
      <c r="Q42" s="13" t="inlineStr"/>
      <c r="R42" s="13" t="inlineStr"/>
      <c r="S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20" t="inlineStr">
        <is>
          <t>—</t>
        </is>
      </c>
      <c r="I43" s="10" t="inlineStr">
        <is>
          <t>拒否されたあと何をすれば進めるのか分からず止まる</t>
        </is>
      </c>
      <c r="J43" s="12" t="inlineStr">
        <is>
          <t>2 / 4</t>
        </is>
      </c>
      <c r="K43" s="10" t="inlineStr">
        <is>
          <t>アップロード</t>
        </is>
      </c>
      <c r="L43" s="10" t="inlineStr">
        <is>
          <t>動作確認（検証プラン）</t>
        </is>
      </c>
      <c r="M43" s="10" t="inlineStr">
        <is>
          <t>フローC</t>
        </is>
      </c>
      <c r="N43" s="10" t="inlineStr">
        <is>
          <t>OP-219</t>
        </is>
      </c>
      <c r="O43" s="20" t="inlineStr">
        <is>
          <t>11番 ファイルが受け付けられない場合（直して再アップロード）</t>
        </is>
      </c>
      <c r="P43" s="13" t="inlineStr"/>
      <c r="Q43" s="13" t="inlineStr"/>
      <c r="R43" s="13" t="inlineStr"/>
      <c r="S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20" t="inlineStr">
        <is>
          <t>—</t>
        </is>
      </c>
      <c r="I44" s="10" t="inlineStr">
        <is>
          <t>入力を間違えたときに戻れず、最初からやり直しになる</t>
        </is>
      </c>
      <c r="J44" s="14" t="inlineStr">
        <is>
          <t>1</t>
        </is>
      </c>
      <c r="K44" s="10" t="inlineStr">
        <is>
          <t>初期セットアップ</t>
        </is>
      </c>
      <c r="L44" s="10" t="inlineStr">
        <is>
          <t>動作確認（検証プラン）</t>
        </is>
      </c>
      <c r="M44" s="10" t="inlineStr">
        <is>
          <t>owner-mock §5.3</t>
        </is>
      </c>
      <c r="N44" s="10" t="inlineStr">
        <is>
          <t>OP-023</t>
        </is>
      </c>
      <c r="O44" s="20" t="inlineStr">
        <is>
          <t>—</t>
        </is>
      </c>
      <c r="P44" s="13" t="inlineStr"/>
      <c r="Q44" s="13" t="inlineStr"/>
      <c r="R44" s="13" t="inlineStr"/>
      <c r="S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20" t="inlineStr">
        <is>
          <t>—</t>
        </is>
      </c>
      <c r="I45" s="10" t="inlineStr">
        <is>
          <t>運用中に中央モーダルが出ると作業が止まる。初期にトーストだと次へ進めず離脱する</t>
        </is>
      </c>
      <c r="J45" s="14" t="inlineStr">
        <is>
          <t>1 / 3</t>
        </is>
      </c>
      <c r="K45" s="10" t="inlineStr">
        <is>
          <t>初期セットアップ／各設定画面</t>
        </is>
      </c>
      <c r="L45" s="10" t="inlineStr">
        <is>
          <t>動作確認（検証プラン）</t>
        </is>
      </c>
      <c r="M45" s="10" t="inlineStr">
        <is>
          <t>owner-mock §6</t>
        </is>
      </c>
      <c r="N45" s="10" t="inlineStr">
        <is>
          <t>OP-024 / OP-029</t>
        </is>
      </c>
      <c r="O45" s="20" t="inlineStr">
        <is>
          <t>—</t>
        </is>
      </c>
      <c r="P45" s="13" t="inlineStr"/>
      <c r="Q45" s="13" t="inlineStr"/>
      <c r="R45" s="13" t="inlineStr"/>
      <c r="S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20" t="inlineStr">
        <is>
          <t>—</t>
        </is>
      </c>
      <c r="I46" s="10" t="inlineStr">
        <is>
          <t>CSVテンプレート①と食い違い、経路によって作れるデータが変わる</t>
        </is>
      </c>
      <c r="J46" s="14" t="inlineStr">
        <is>
          <t>1</t>
        </is>
      </c>
      <c r="K46" s="10" t="inlineStr">
        <is>
          <t>業態設定</t>
        </is>
      </c>
      <c r="L46" s="10" t="inlineStr">
        <is>
          <t>実装レビュー（登録モーダル）</t>
        </is>
      </c>
      <c r="M46" s="10" t="inlineStr">
        <is>
          <t>owner-mock §3.4.2／README §1.2</t>
        </is>
      </c>
      <c r="N46" s="10" t="inlineStr">
        <is>
          <t>OP-030</t>
        </is>
      </c>
      <c r="O46" s="20" t="inlineStr">
        <is>
          <t>—</t>
        </is>
      </c>
      <c r="P46" s="13" t="inlineStr"/>
      <c r="Q46" s="13" t="inlineStr"/>
      <c r="R46" s="13" t="inlineStr"/>
      <c r="S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20" t="inlineStr">
        <is>
          <t>—</t>
        </is>
      </c>
      <c r="I47" s="10" t="inlineStr">
        <is>
          <t>残りが分からず離脱する</t>
        </is>
      </c>
      <c r="J47" s="14" t="inlineStr">
        <is>
          <t>1</t>
        </is>
      </c>
      <c r="K47" s="10" t="inlineStr">
        <is>
          <t>初期セットアップ</t>
        </is>
      </c>
      <c r="L47" s="10" t="inlineStr">
        <is>
          <t>動作確認（検証プラン）</t>
        </is>
      </c>
      <c r="M47" s="10" t="inlineStr">
        <is>
          <t>owner-mock §5.1</t>
        </is>
      </c>
      <c r="N47" s="10" t="inlineStr">
        <is>
          <t>OP-033</t>
        </is>
      </c>
      <c r="O47" s="20" t="inlineStr">
        <is>
          <t>—</t>
        </is>
      </c>
      <c r="P47" s="13" t="inlineStr"/>
      <c r="Q47" s="13" t="inlineStr"/>
      <c r="R47" s="13" t="inlineStr"/>
      <c r="S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20" t="inlineStr">
        <is>
          <t>—</t>
        </is>
      </c>
      <c r="I48" s="10" t="inlineStr">
        <is>
          <t>方式を選び直せず、間違えるとやり直しになる</t>
        </is>
      </c>
      <c r="J48" s="16" t="inlineStr">
        <is>
          <t>4</t>
        </is>
      </c>
      <c r="K48" s="10" t="inlineStr">
        <is>
          <t>業態設定→インポート</t>
        </is>
      </c>
      <c r="L48" s="10" t="inlineStr">
        <is>
          <t>動作確認（検証プラン）</t>
        </is>
      </c>
      <c r="M48" s="10" t="inlineStr">
        <is>
          <t>README §9</t>
        </is>
      </c>
      <c r="N48" s="10" t="inlineStr">
        <is>
          <t>OP-008</t>
        </is>
      </c>
      <c r="O48" s="20" t="inlineStr">
        <is>
          <t>—</t>
        </is>
      </c>
      <c r="P48" s="13" t="inlineStr"/>
      <c r="Q48" s="13" t="inlineStr"/>
      <c r="R48" s="13" t="inlineStr"/>
      <c r="S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20" t="inlineStr">
        <is>
          <t>—</t>
        </is>
      </c>
      <c r="I49" s="10" t="inlineStr">
        <is>
          <r>
            <rPr>
              <b val="1"/>
              <sz val="10"/>
            </rPr>
            <t>DB制約違反で登録が落ちる。</t>
          </r>
          <r>
            <rPr>
              <sz val="10"/>
            </rPr>
            <t xml:space="preserve"> enumは時給・月給の2値</t>
          </r>
        </is>
      </c>
      <c r="J49" s="12" t="inlineStr">
        <is>
          <t>2</t>
        </is>
      </c>
      <c r="K49" s="10" t="inlineStr">
        <is>
          <t>プレビュー</t>
        </is>
      </c>
      <c r="L49" s="10" t="inlineStr">
        <is>
          <t>動作確認（検証プラン）</t>
        </is>
      </c>
      <c r="M49" s="10" t="inlineStr">
        <is>
          <t>README §0.5／§8.10</t>
        </is>
      </c>
      <c r="N49" s="10" t="inlineStr">
        <is>
          <t>OP-218</t>
        </is>
      </c>
      <c r="O49" s="20" t="inlineStr">
        <is>
          <t>7番 雇用区分（給与体系は月給または時給）</t>
        </is>
      </c>
      <c r="P49" s="13" t="inlineStr"/>
      <c r="Q49" s="13" t="inlineStr"/>
      <c r="R49" s="13" t="inlineStr"/>
      <c r="S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20" t="inlineStr">
        <is>
          <t>—</t>
        </is>
      </c>
      <c r="I50" s="10" t="inlineStr">
        <is>
          <r>
            <rPr>
              <b val="1"/>
              <sz val="10"/>
            </rPr>
            <t>何が登録されるか分からないまま実行させることになる。</t>
          </r>
          <r>
            <rPr>
              <sz val="10"/>
            </rPr>
            <t xml:space="preserve"> プレビューがこの機能の要</t>
          </r>
        </is>
      </c>
      <c r="J50" s="12" t="inlineStr">
        <is>
          <t>2</t>
        </is>
      </c>
      <c r="K50" s="10" t="inlineStr">
        <is>
          <t>プレビュー</t>
        </is>
      </c>
      <c r="L50" s="10" t="inlineStr">
        <is>
          <t>動作確認（検証プラン）</t>
        </is>
      </c>
      <c r="M50" s="10" t="inlineStr">
        <is>
          <t>フローA【2】</t>
        </is>
      </c>
      <c r="N50" s="10" t="inlineStr">
        <is>
          <t>CA-051</t>
        </is>
      </c>
      <c r="O50" s="20" t="inlineStr">
        <is>
          <t>8番 画面上部に件数が表示されます（新規登録・更新・スキップ・エラー）</t>
        </is>
      </c>
      <c r="P50" s="13" t="inlineStr"/>
      <c r="Q50" s="13" t="inlineStr"/>
      <c r="R50" s="13" t="inlineStr"/>
      <c r="S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20" t="inlineStr">
        <is>
          <t>—</t>
        </is>
      </c>
      <c r="I51" s="10" t="inlineStr">
        <is>
          <r>
            <rPr>
              <b val="1"/>
              <sz val="10"/>
            </rPr>
            <t>なぜ取り込めないのか分からず、顧客が問い合わせる</t>
          </r>
        </is>
      </c>
      <c r="J51" s="12" t="inlineStr">
        <is>
          <t>2</t>
        </is>
      </c>
      <c r="K51" s="10" t="inlineStr">
        <is>
          <t>プレビュー</t>
        </is>
      </c>
      <c r="L51" s="10" t="inlineStr">
        <is>
          <t>動作確認（検証プラン）</t>
        </is>
      </c>
      <c r="M51" s="10" t="inlineStr">
        <is>
          <t>フローC</t>
        </is>
      </c>
      <c r="N51" s="10" t="inlineStr">
        <is>
          <t>OP-303 / OP-304</t>
        </is>
      </c>
      <c r="O51" s="20" t="inlineStr">
        <is>
          <t>11番 一部の行にエラーがある場合（赤く表示・画面上では直せません） ／ 11番 よくあるエラー（〇〇が登録されていません）</t>
        </is>
      </c>
      <c r="P51" s="13" t="inlineStr"/>
      <c r="Q51" s="13" t="inlineStr"/>
      <c r="R51" s="13" t="inlineStr"/>
      <c r="S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20" t="inlineStr">
        <is>
          <t>—</t>
        </is>
      </c>
      <c r="I52" s="10" t="inlineStr">
        <is>
          <r>
            <rPr>
              <b val="1"/>
              <sz val="10"/>
            </rPr>
            <t>画面で直すと元CSVに残らず再発する。</t>
          </r>
          <r>
            <rPr>
              <sz val="10"/>
            </rPr>
            <t xml:space="preserve"> プレビューが編集画面になり状態管理が跳ね上がる（J-029）</t>
          </r>
        </is>
      </c>
      <c r="J52" s="12" t="inlineStr">
        <is>
          <t>2</t>
        </is>
      </c>
      <c r="K52" s="10" t="inlineStr">
        <is>
          <t>プレビュー</t>
        </is>
      </c>
      <c r="L52" s="10" t="inlineStr">
        <is>
          <t>動作確認（検証プラン）</t>
        </is>
      </c>
      <c r="M52" s="10" t="inlineStr">
        <is>
          <r>
            <rPr>
              <b val="1"/>
              <sz val="10"/>
            </rPr>
            <t>設計の背骨①</t>
          </r>
          <r>
            <rPr>
              <sz val="10"/>
            </rPr>
            <t>／仕様書 4.1</t>
          </r>
        </is>
      </c>
      <c r="N52" s="10" t="inlineStr">
        <is>
          <t>OP-303</t>
        </is>
      </c>
      <c r="O52" s="20" t="inlineStr">
        <is>
          <t>11番 一部の行にエラーがある場合（赤く表示・画面上では直せません）</t>
        </is>
      </c>
      <c r="P52" s="13" t="inlineStr"/>
      <c r="Q52" s="13" t="inlineStr"/>
      <c r="R52" s="13" t="inlineStr"/>
      <c r="S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OP-306（エラー行CSVのダウンロード）元テンプレートと同じ列＋末尾に「エラー理由」列のファイルが落ちる ／ OP-307（エラー行CSVで修正して再取り込み）エラーが解消され、全件が取り込める状態になる ／ CA-053（完了画面の件数）成功7・失敗1と表示される。取り込まなかった2行も表示される。失敗行CSVは1行</t>
        </is>
      </c>
      <c r="H53" s="20" t="inlineStr">
        <is>
          <t>—</t>
        </is>
      </c>
      <c r="I53" s="10" t="inlineStr">
        <is>
          <r>
            <rPr>
              <b val="1"/>
              <sz val="10"/>
            </rPr>
            <t>エラー行を直す手段が無くなる。</t>
          </r>
          <r>
            <rPr>
              <sz val="10"/>
            </rPr>
            <t xml:space="preserve"> 30人中1人の誤りで全体が止まる</t>
          </r>
        </is>
      </c>
      <c r="J53" s="12" t="inlineStr">
        <is>
          <t>2</t>
        </is>
      </c>
      <c r="K53" s="10" t="inlineStr">
        <is>
          <t>プレビュー / 完了</t>
        </is>
      </c>
      <c r="L53" s="10" t="inlineStr">
        <is>
          <t>動作確認（検証プラン）</t>
        </is>
      </c>
      <c r="M53" s="10" t="inlineStr">
        <is>
          <t>フローC</t>
        </is>
      </c>
      <c r="N53" s="10" t="inlineStr">
        <is>
          <t>OP-306 / OP-307 / CA-053</t>
        </is>
      </c>
      <c r="O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P53" s="13" t="inlineStr"/>
      <c r="Q53" s="13" t="inlineStr"/>
      <c r="R53" s="13" t="inlineStr"/>
      <c r="S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20" t="inlineStr">
        <is>
          <t>—</t>
        </is>
      </c>
      <c r="I54" s="10" t="inlineStr">
        <is>
          <r>
            <rPr>
              <b val="1"/>
              <sz val="10"/>
            </rPr>
            <t>店長のアカウントが2つできる。</t>
          </r>
          <r>
            <rPr>
              <sz val="10"/>
            </rPr>
            <t xml:space="preserve"> 打刻の記録が分断され、給与計算が合わなくなる</t>
          </r>
        </is>
      </c>
      <c r="J54" s="12" t="inlineStr">
        <is>
          <t>2</t>
        </is>
      </c>
      <c r="K54" s="10" t="inlineStr">
        <is>
          <t>プレビュー</t>
        </is>
      </c>
      <c r="L54" s="10" t="inlineStr">
        <is>
          <t>動作確認（検証プラン）</t>
        </is>
      </c>
      <c r="M54" s="10" t="inlineStr">
        <is>
          <r>
            <rPr>
              <b val="1"/>
              <sz val="10"/>
            </rPr>
            <t>設計の背骨④</t>
          </r>
          <r>
            <rPr>
              <sz val="10"/>
            </rPr>
            <t>／フローD</t>
          </r>
        </is>
      </c>
      <c r="N54" s="10" t="inlineStr">
        <is>
          <t>OP-308</t>
        </is>
      </c>
      <c r="O54" s="20" t="inlineStr">
        <is>
          <t>8番 管理者の判定について（新規登録・権限付与・差し替え・スキップ）</t>
        </is>
      </c>
      <c r="P54" s="13" t="inlineStr"/>
      <c r="Q54" s="13" t="inlineStr"/>
      <c r="R54" s="13" t="inlineStr"/>
      <c r="S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20" t="inlineStr">
        <is>
          <t>AC-056（指定した従業員コードがそのまま登録されること。自動採番に置き換わると本条件は判定できない）</t>
        </is>
      </c>
      <c r="I55" s="10" t="inlineStr">
        <is>
          <r>
            <rPr>
              <b val="1"/>
              <sz val="10"/>
            </rPr>
            <t>退職者が勝手に復活する。</t>
          </r>
          <r>
            <rPr>
              <sz val="10"/>
            </rPr>
            <t xml:space="preserve"> 給与計算と打刻に退職者が混ざる</t>
          </r>
        </is>
      </c>
      <c r="J55" s="12" t="inlineStr">
        <is>
          <t>2</t>
        </is>
      </c>
      <c r="K55" s="10" t="inlineStr">
        <is>
          <t>プレビュー</t>
        </is>
      </c>
      <c r="L55" s="10" t="inlineStr">
        <is>
          <t>動作確認（検証プラン）</t>
        </is>
      </c>
      <c r="M55" s="10" t="inlineStr">
        <is>
          <t>README §8.4</t>
        </is>
      </c>
      <c r="N55" s="10" t="inlineStr">
        <is>
          <t>OP-310</t>
        </is>
      </c>
      <c r="O55" s="20" t="inlineStr">
        <is>
          <t>11番 よくあるエラー（退職済みの従業員と同じ従業員コード） ／ 12番 退職した方を復帰させたい</t>
        </is>
      </c>
      <c r="P55" s="13" t="inlineStr"/>
      <c r="Q55" s="13" t="inlineStr"/>
      <c r="R55" s="13" t="inlineStr"/>
      <c r="S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20" t="inlineStr">
        <is>
          <t>—</t>
        </is>
      </c>
      <c r="I56" s="10" t="inlineStr">
        <is>
          <r>
            <rPr>
              <b val="1"/>
              <sz val="10"/>
            </rPr>
            <t>0円や桁溢れがDBに入る。</t>
          </r>
          <r>
            <rPr>
              <sz val="10"/>
            </rPr>
            <t xml:space="preserve"> 給与計算が壊れる</t>
          </r>
        </is>
      </c>
      <c r="J56" s="12" t="inlineStr">
        <is>
          <t>2 / 4</t>
        </is>
      </c>
      <c r="K56" s="10" t="inlineStr">
        <is>
          <t>プレビュー</t>
        </is>
      </c>
      <c r="L56" s="10" t="inlineStr">
        <is>
          <t>動作確認（検証プラン）</t>
        </is>
      </c>
      <c r="M56" s="10" t="inlineStr">
        <is>
          <t>README §4.5-2</t>
        </is>
      </c>
      <c r="N56" s="10" t="inlineStr">
        <is>
          <t>CA-016</t>
        </is>
      </c>
      <c r="O56" s="20" t="inlineStr">
        <is>
          <t>7番 雇用区分（金額は1以上） ／ 11番 よくあるエラー</t>
        </is>
      </c>
      <c r="P56" s="13" t="inlineStr"/>
      <c r="Q56" s="13" t="inlineStr"/>
      <c r="R56" s="13" t="inlineStr"/>
      <c r="S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CA-031（従業員名の桁数）100文字は登録できる。101文字はエラー ／ CA-033（その他の桁数）いずれもエラーになり、列名と上限がメッセージに出る</t>
        </is>
      </c>
      <c r="H57" s="20" t="inlineStr">
        <is>
          <t>—</t>
        </is>
      </c>
      <c r="I57" s="10" t="inlineStr">
        <is>
          <r>
            <rPr>
              <b val="1"/>
              <sz val="10"/>
            </rPr>
            <t>DBの桁を超えて登録に失敗する。</t>
          </r>
          <r>
            <rPr>
              <sz val="10"/>
            </rPr>
            <t xml:space="preserve"> どの行かも分からない</t>
          </r>
        </is>
      </c>
      <c r="J57" s="12" t="inlineStr">
        <is>
          <t>2 / 4</t>
        </is>
      </c>
      <c r="K57" s="10" t="inlineStr">
        <is>
          <t>従業員一覧 / プレビュー</t>
        </is>
      </c>
      <c r="L57" s="10" t="inlineStr">
        <is>
          <t>動作確認（検証プラン）</t>
        </is>
      </c>
      <c r="M57" s="10" t="inlineStr">
        <is>
          <t>README §4.5-4</t>
        </is>
      </c>
      <c r="N57" s="10" t="inlineStr">
        <is>
          <t>CA-031 / CA-033</t>
        </is>
      </c>
      <c r="O57" s="20" t="inlineStr">
        <is>
          <t>—（7番 従業員に未記載。README §11.1 が確定したら追記する） ／ 7番 雇用区分（最大100文字・コード50文字） ／ 7番 店舗（営業時間200文字）</t>
        </is>
      </c>
      <c r="P57" s="13" t="inlineStr"/>
      <c r="Q57" s="13" t="inlineStr"/>
      <c r="R57" s="13" t="inlineStr"/>
      <c r="S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CA-036（メールアドレスの形式）エラー行として赤く表示され、「メールアドレスの形式が正しくありません」と理由が出る。取り込まれない ／ CA-041（郵便番号の形式）前2つは登録できる。3つ目はエラー ／ CA-044（電話番号の正規化と文字種）全角ハイフンは半角に正規化される。英字混じりはエラー</t>
        </is>
      </c>
      <c r="H58" s="20" t="inlineStr">
        <is>
          <t>—</t>
        </is>
      </c>
      <c r="I58" s="10" t="inlineStr">
        <is>
          <r>
            <rPr>
              <b val="1"/>
              <sz val="10"/>
            </rPr>
            <t>誤ったメールアドレスに招待が飛ぶ。</t>
          </r>
          <r>
            <rPr>
              <sz val="10"/>
            </rPr>
            <t xml:space="preserve"> 本人はログインできない</t>
          </r>
        </is>
      </c>
      <c r="J58" s="12" t="inlineStr">
        <is>
          <t>2 / 4</t>
        </is>
      </c>
      <c r="K58" s="10" t="inlineStr">
        <is>
          <t>プレビュー / 店舗設定 / 従業員一覧</t>
        </is>
      </c>
      <c r="L58" s="10" t="inlineStr">
        <is>
          <t>動作確認（検証プラン）</t>
        </is>
      </c>
      <c r="M58" s="10" t="inlineStr">
        <is>
          <t>README §4.5</t>
        </is>
      </c>
      <c r="N58" s="10" t="inlineStr">
        <is>
          <t>CA-036 / CA-041 / CA-044</t>
        </is>
      </c>
      <c r="O58" s="20" t="inlineStr">
        <is>
          <t>11番 一部の行にエラーがある場合（メールアドレスの形式） ／ 7番 店舗（郵便番号の書き方） ／ 7番 従業員（電話番号はハイフン付き）</t>
        </is>
      </c>
      <c r="P58" s="13" t="inlineStr"/>
      <c r="Q58" s="13" t="inlineStr"/>
      <c r="R58" s="13" t="inlineStr"/>
      <c r="S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20" t="inlineStr">
        <is>
          <t>—</t>
        </is>
      </c>
      <c r="I59" s="10" t="inlineStr">
        <is>
          <r>
            <rPr>
              <b val="1"/>
              <sz val="10"/>
            </rPr>
            <t>編集で開いたのに前回の入力が残る、または新規で開いたのに既存が出る。</t>
          </r>
          <r>
            <rPr>
              <sz val="10"/>
            </rPr>
            <t xml:space="preserve"> 誤ったデータを上書きする</t>
          </r>
        </is>
      </c>
      <c r="J59" s="14" t="inlineStr">
        <is>
          <t>1 / 3</t>
        </is>
      </c>
      <c r="K59" s="10" t="inlineStr">
        <is>
          <t>各設定画面</t>
        </is>
      </c>
      <c r="L59" s="10" t="inlineStr">
        <is>
          <t>動作確認（検証プラン）</t>
        </is>
      </c>
      <c r="M59" s="10" t="inlineStr">
        <is>
          <t>owner-mock §3.4.2</t>
        </is>
      </c>
      <c r="N59" s="10" t="inlineStr">
        <is>
          <t>OP-027</t>
        </is>
      </c>
      <c r="O59" s="20" t="inlineStr">
        <is>
          <t>—</t>
        </is>
      </c>
      <c r="P59" s="13" t="inlineStr"/>
      <c r="Q59" s="13" t="inlineStr"/>
      <c r="R59" s="13" t="inlineStr"/>
      <c r="S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20" t="inlineStr">
        <is>
          <t>—</t>
        </is>
      </c>
      <c r="I60" s="10" t="inlineStr">
        <is>
          <r>
            <rPr>
              <b val="1"/>
              <sz val="10"/>
            </rPr>
            <t>未登録の業態や店舗を選べてしまい、存在しない参照ができる。</t>
          </r>
          <r>
            <rPr>
              <sz val="10"/>
            </rPr>
            <t xml:space="preserve"> または登録したのに選べない</t>
          </r>
        </is>
      </c>
      <c r="J60" s="14" t="inlineStr">
        <is>
          <t>1</t>
        </is>
      </c>
      <c r="K60" s="10" t="inlineStr">
        <is>
          <t>各設定画面</t>
        </is>
      </c>
      <c r="L60" s="10" t="inlineStr">
        <is>
          <t>動作確認（検証プラン）</t>
        </is>
      </c>
      <c r="M60" s="10" t="inlineStr">
        <is>
          <t>owner-mock §3.4.3</t>
        </is>
      </c>
      <c r="N60" s="10" t="inlineStr">
        <is>
          <t>OP-026</t>
        </is>
      </c>
      <c r="O60" s="20" t="inlineStr">
        <is>
          <t>1番 はじめて登録するときの順番（先に必要なもの）</t>
        </is>
      </c>
      <c r="P60" s="13" t="inlineStr"/>
      <c r="Q60" s="13" t="inlineStr"/>
      <c r="R60" s="13" t="inlineStr"/>
      <c r="S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20" t="inlineStr">
        <is>
          <t>—</t>
        </is>
      </c>
      <c r="I61" s="10" t="inlineStr">
        <is>
          <r>
            <rPr>
              <b val="1"/>
              <sz val="10"/>
            </rPr>
            <t>導入作業の途中で誤りに気づいても直せない。</t>
          </r>
          <r>
            <rPr>
              <sz val="10"/>
            </rPr>
            <t xml:space="preserve"> 最初からやり直しになり、導入で離脱する</t>
          </r>
        </is>
      </c>
      <c r="J61" s="12" t="inlineStr">
        <is>
          <t>2 / 4</t>
        </is>
      </c>
      <c r="K61" s="10" t="inlineStr">
        <is>
          <t>プレビュー／アップロード</t>
        </is>
      </c>
      <c r="L61" s="10" t="inlineStr">
        <is>
          <t>動作確認（検証プラン）</t>
        </is>
      </c>
      <c r="M61" s="10" t="inlineStr">
        <is>
          <t>フローC／フローH／仕様書「新規登録と運用更新の違い」</t>
        </is>
      </c>
      <c r="N61" s="10" t="inlineStr">
        <is>
          <t>OP-306 / OP-307 / OP-219</t>
        </is>
      </c>
      <c r="O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P61" s="13" t="inlineStr"/>
      <c r="Q61" s="13" t="inlineStr"/>
      <c r="R61" s="13" t="inlineStr"/>
      <c r="S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OP-108（設定マスタの重複排除）重複が自動で除外され、1件として登録される ／ CA-056（重複排除後の件数）3件として登録される</t>
        </is>
      </c>
      <c r="H62" s="20" t="inlineStr">
        <is>
          <t>—</t>
        </is>
      </c>
      <c r="I62" s="10" t="inlineStr">
        <is>
          <t>同じ業態が2件登録され、以後の参照が壊れる</t>
        </is>
      </c>
      <c r="J62" s="12" t="inlineStr">
        <is>
          <t>2</t>
        </is>
      </c>
      <c r="K62" s="10" t="inlineStr">
        <is>
          <t>プレビュー / 業態設定</t>
        </is>
      </c>
      <c r="L62" s="10" t="inlineStr">
        <is>
          <t>動作確認（検証プラン）</t>
        </is>
      </c>
      <c r="M62" s="10" t="inlineStr">
        <is>
          <t>README §4.1</t>
        </is>
      </c>
      <c r="N62" s="10" t="inlineStr">
        <is>
          <t>OP-108 / CA-056</t>
        </is>
      </c>
      <c r="O62" s="20" t="inlineStr">
        <is>
          <t>7番 業態（同じ業態名は重複を自動で除外） ／ 7番 業態（重複は自動で除外されます）</t>
        </is>
      </c>
      <c r="P62" s="13" t="inlineStr"/>
      <c r="Q62" s="13" t="inlineStr"/>
      <c r="R62" s="13" t="inlineStr"/>
      <c r="S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20" t="inlineStr">
        <is>
          <t>—</t>
        </is>
      </c>
      <c r="I63" s="10" t="inlineStr">
        <is>
          <t>同名の業態のどちらに紐づくか不定になり、店舗が誤った業態に入る</t>
        </is>
      </c>
      <c r="J63" s="12" t="inlineStr">
        <is>
          <t>2</t>
        </is>
      </c>
      <c r="K63" s="10" t="inlineStr">
        <is>
          <t>プレビュー</t>
        </is>
      </c>
      <c r="L63" s="10" t="inlineStr">
        <is>
          <t>動作確認（検証プラン）</t>
        </is>
      </c>
      <c r="M63" s="10" t="inlineStr">
        <is>
          <t>README §4.5-6</t>
        </is>
      </c>
      <c r="N63" s="10" t="inlineStr">
        <is>
          <t>OP-312</t>
        </is>
      </c>
      <c r="O63" s="20" t="inlineStr">
        <is>
          <t>11番 よくあるエラー（〇〇が登録されていません）</t>
        </is>
      </c>
      <c r="P63" s="13" t="inlineStr"/>
      <c r="Q63" s="13" t="inlineStr"/>
      <c r="R63" s="13" t="inlineStr"/>
      <c r="S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20" t="inlineStr">
        <is>
          <t>—</t>
        </is>
      </c>
      <c r="I64" s="10" t="inlineStr">
        <is>
          <t>複数店舗を書いて取り込めず、原因が分からない</t>
        </is>
      </c>
      <c r="J64" s="12" t="inlineStr">
        <is>
          <t>2 / 3</t>
        </is>
      </c>
      <c r="K64" s="10" t="inlineStr">
        <is>
          <t>プレビュー / 従業員一覧</t>
        </is>
      </c>
      <c r="L64" s="10" t="inlineStr">
        <is>
          <t>動作確認（検証プラン）</t>
        </is>
      </c>
      <c r="M64" s="10" t="inlineStr">
        <is>
          <t>README §8.3</t>
        </is>
      </c>
      <c r="N64" s="10" t="inlineStr">
        <is>
          <t>OP-311 / OP-608</t>
        </is>
      </c>
      <c r="O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P64" s="13" t="inlineStr"/>
      <c r="Q64" s="13" t="inlineStr"/>
      <c r="R64" s="13" t="inlineStr"/>
      <c r="S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CA-014（金額の正規化）どちらも 200000 として登録される ／ CA-015（金額の正規化（不可））エラー。「金額は半角数字で入力してください」</t>
        </is>
      </c>
      <c r="H65" s="20" t="inlineStr">
        <is>
          <t>—</t>
        </is>
      </c>
      <c r="I65" s="10" t="inlineStr">
        <is>
          <t>「200,000」がエラーになり、顧客が原因を特定できない</t>
        </is>
      </c>
      <c r="J65" s="12" t="inlineStr">
        <is>
          <t>2 / 4</t>
        </is>
      </c>
      <c r="K65" s="10" t="inlineStr">
        <is>
          <t>雇用区分設定 / プレビュー</t>
        </is>
      </c>
      <c r="L65" s="10" t="inlineStr">
        <is>
          <t>動作確認（検証プラン）</t>
        </is>
      </c>
      <c r="M65" s="10" t="inlineStr">
        <is>
          <t>README §4.5-3</t>
        </is>
      </c>
      <c r="N65" s="10" t="inlineStr">
        <is>
          <t>CA-014 / CA-015</t>
        </is>
      </c>
      <c r="O65" s="20" t="inlineStr">
        <is>
          <t>7番 雇用区分（カンマや円記号を付けても取り込めます） ／ 11番 よくあるエラー（金額は半角数字で）</t>
        </is>
      </c>
      <c r="P65" s="13" t="inlineStr"/>
      <c r="Q65" s="13" t="inlineStr"/>
      <c r="R65" s="13" t="inlineStr"/>
      <c r="S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CA-021（月次契約労働時間の範囲）0と1000はエラー。160は登録できる ／ CA-024（月みなし残業時間の範囲）0と999は登録できる。1000はエラー。「20時間」は単位付きのためエラー</t>
        </is>
      </c>
      <c r="H66" s="20" t="inlineStr">
        <is>
          <t>—</t>
        </is>
      </c>
      <c r="I66" s="10" t="inlineStr">
        <is>
          <t>契約労働時間0で登録され、残業計算が破綻する</t>
        </is>
      </c>
      <c r="J66" s="12" t="inlineStr">
        <is>
          <t>2 / 4</t>
        </is>
      </c>
      <c r="K66" s="10" t="inlineStr">
        <is>
          <t>プレビュー / 雇用区分設定</t>
        </is>
      </c>
      <c r="L66" s="10" t="inlineStr">
        <is>
          <t>動作確認（検証プラン）</t>
        </is>
      </c>
      <c r="M66" s="10" t="inlineStr">
        <is>
          <t>README §4.5-3</t>
        </is>
      </c>
      <c r="N66" s="10" t="inlineStr">
        <is>
          <t>CA-021 / CA-024</t>
        </is>
      </c>
      <c r="O66" s="20" t="inlineStr">
        <is>
          <t>7番 雇用区分（月次契約労働時間1〜999） ／ 11番 よくあるエラー ／ 7番 雇用区分（月みなし残業時間の単位は時間）</t>
        </is>
      </c>
      <c r="P66" s="13" t="inlineStr"/>
      <c r="Q66" s="13" t="inlineStr"/>
      <c r="R66" s="13" t="inlineStr"/>
      <c r="S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20" t="inlineStr">
        <is>
          <t>—</t>
        </is>
      </c>
      <c r="I67" s="10" t="inlineStr">
        <is>
          <t>タブの役割が種別と判定で混在し、読み違える</t>
        </is>
      </c>
      <c r="J67" s="12" t="inlineStr">
        <is>
          <t>2</t>
        </is>
      </c>
      <c r="K67" s="10" t="inlineStr">
        <is>
          <t>プレビュー</t>
        </is>
      </c>
      <c r="L67" s="10" t="inlineStr">
        <is>
          <t>動作確認（検証プラン）</t>
        </is>
      </c>
      <c r="M67" s="10" t="inlineStr">
        <is>
          <t>仕様書 7.2</t>
        </is>
      </c>
      <c r="N67" s="10" t="inlineStr">
        <is>
          <t>OP-301</t>
        </is>
      </c>
      <c r="O67" s="20" t="inlineStr">
        <is>
          <t>8番 内容を確認する</t>
        </is>
      </c>
      <c r="P67" s="13" t="inlineStr"/>
      <c r="Q67" s="13" t="inlineStr"/>
      <c r="R67" s="13" t="inlineStr"/>
      <c r="S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20" t="inlineStr">
        <is>
          <t>—</t>
        </is>
      </c>
      <c r="I68" s="10" t="inlineStr">
        <is>
          <t>前後の空白で引き当てに失敗する。Excelの貼り付けで頻出</t>
        </is>
      </c>
      <c r="J68" s="12" t="inlineStr">
        <is>
          <t>2</t>
        </is>
      </c>
      <c r="K68" s="10" t="inlineStr">
        <is>
          <t>プレビュー</t>
        </is>
      </c>
      <c r="L68" s="10" t="inlineStr">
        <is>
          <t>動作確認（検証プラン）</t>
        </is>
      </c>
      <c r="M68" s="10" t="inlineStr">
        <is>
          <t>README §4.5-6</t>
        </is>
      </c>
      <c r="N68" s="10" t="inlineStr">
        <is>
          <t>OP-312</t>
        </is>
      </c>
      <c r="O68" s="20" t="inlineStr">
        <is>
          <t>11番 よくあるエラー（〇〇が登録されていません）</t>
        </is>
      </c>
      <c r="P68" s="13" t="inlineStr"/>
      <c r="Q68" s="13" t="inlineStr"/>
      <c r="R68" s="13" t="inlineStr"/>
      <c r="S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20" t="inlineStr">
        <is>
          <t>—</t>
        </is>
      </c>
      <c r="I69" s="10" t="inlineStr">
        <is>
          <t>凡例が常時出て一覧が読みにくい</t>
        </is>
      </c>
      <c r="J69" s="12" t="inlineStr">
        <is>
          <t>2</t>
        </is>
      </c>
      <c r="K69" s="10" t="inlineStr">
        <is>
          <t>プレビュー</t>
        </is>
      </c>
      <c r="L69" s="10" t="inlineStr">
        <is>
          <t>動作確認（検証プラン）</t>
        </is>
      </c>
      <c r="M69" s="10" t="inlineStr">
        <is>
          <t>仕様書 4.2</t>
        </is>
      </c>
      <c r="N69" s="10" t="inlineStr">
        <is>
          <t>OP-308</t>
        </is>
      </c>
      <c r="O69" s="20" t="inlineStr">
        <is>
          <t>8番 管理者の判定について（新規登録・権限付与・差し替え・スキップ）</t>
        </is>
      </c>
      <c r="P69" s="13" t="inlineStr"/>
      <c r="Q69" s="13" t="inlineStr"/>
      <c r="R69" s="13" t="inlineStr"/>
      <c r="S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20" t="inlineStr">
        <is>
          <t>—</t>
        </is>
      </c>
      <c r="I70" s="10" t="inlineStr">
        <is>
          <r>
            <rPr>
              <b val="1"/>
              <sz val="10"/>
            </rPr>
            <t>二重登録される。</t>
          </r>
          <r>
            <rPr>
              <sz val="10"/>
            </rPr>
            <t xml:space="preserve"> 取り返しがつかない</t>
          </r>
        </is>
      </c>
      <c r="J70" s="12" t="inlineStr">
        <is>
          <t>2</t>
        </is>
      </c>
      <c r="K70" s="10" t="inlineStr">
        <is>
          <t>実行中</t>
        </is>
      </c>
      <c r="L70" s="10" t="inlineStr">
        <is>
          <t>動作確認（検証プラン）</t>
        </is>
      </c>
      <c r="M70" s="10" t="inlineStr">
        <is>
          <t>README §9.1</t>
        </is>
      </c>
      <c r="N70" s="10" t="inlineStr">
        <is>
          <t>OP-401</t>
        </is>
      </c>
      <c r="O70" s="20" t="inlineStr">
        <is>
          <t>9番 取り込みを実行する</t>
        </is>
      </c>
      <c r="P70" s="13" t="inlineStr"/>
      <c r="Q70" s="13" t="inlineStr"/>
      <c r="R70" s="13" t="inlineStr"/>
      <c r="S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OP-502（取り込まなかった行の開示）完了画面に「取り込まなかった行（N件）」が表示され、除外理由が分かる ／ CA-053（完了画面の件数）成功7・失敗1と表示される。取り込まなかった2行も表示される。失敗行CSVは1行</t>
        </is>
      </c>
      <c r="H71" s="20" t="inlineStr">
        <is>
          <t>—</t>
        </is>
      </c>
      <c r="I71" s="10" t="inlineStr">
        <is>
          <r>
            <rPr>
              <b val="1"/>
              <sz val="10"/>
            </rPr>
            <t>除外した行を忘れる。</t>
          </r>
          <r>
            <rPr>
              <sz val="10"/>
            </rPr>
            <t xml:space="preserve"> 登録されたつもりで運用が始まる</t>
          </r>
        </is>
      </c>
      <c r="J71" s="12" t="inlineStr">
        <is>
          <t>2</t>
        </is>
      </c>
      <c r="K71" s="10" t="inlineStr">
        <is>
          <t>完了</t>
        </is>
      </c>
      <c r="L71" s="10" t="inlineStr">
        <is>
          <t>動作確認（検証プラン）</t>
        </is>
      </c>
      <c r="M71" s="10" t="inlineStr">
        <is>
          <t>README §7.7</t>
        </is>
      </c>
      <c r="N71" s="10" t="inlineStr">
        <is>
          <t>OP-502 / CA-053</t>
        </is>
      </c>
      <c r="O71" s="20" t="inlineStr">
        <is>
          <t>10番 確認画面で除いた行 ／ 11番 エラー行を除いてインポート実行 ／ 10番 完了画面で確認する（成功・失敗の件数）</t>
        </is>
      </c>
      <c r="P71" s="13" t="inlineStr"/>
      <c r="Q71" s="13" t="inlineStr"/>
      <c r="R71" s="13" t="inlineStr"/>
      <c r="S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OP-503（失敗行CSVのダウンロードと書式）失敗した行だけが落ちる。文字化けせず、失敗理由の列が付いている ／ CA-053（完了画面の件数）成功7・失敗1と表示される。取り込まなかった2行も表示される。失敗行CSVは1行</t>
        </is>
      </c>
      <c r="H72" s="20" t="inlineStr">
        <is>
          <t>—</t>
        </is>
      </c>
      <c r="I72" s="10" t="inlineStr">
        <is>
          <r>
            <rPr>
              <b val="1"/>
              <sz val="10"/>
            </rPr>
            <t>失敗した行が分からず回収できない。</t>
          </r>
          <r>
            <rPr>
              <sz val="10"/>
            </rPr>
            <t xml:space="preserve"> どれが登録されたか顧客が追えない</t>
          </r>
        </is>
      </c>
      <c r="J72" s="12" t="inlineStr">
        <is>
          <t>2</t>
        </is>
      </c>
      <c r="K72" s="10" t="inlineStr">
        <is>
          <t>完了</t>
        </is>
      </c>
      <c r="L72" s="10" t="inlineStr">
        <is>
          <t>動作確認（検証プラン）</t>
        </is>
      </c>
      <c r="M72" s="10" t="inlineStr">
        <is>
          <t>フローC／README §7.7</t>
        </is>
      </c>
      <c r="N72" s="10" t="inlineStr">
        <is>
          <t>OP-503 / CA-053</t>
        </is>
      </c>
      <c r="O72" s="20" t="inlineStr">
        <is>
          <t>10番 一部が登録できなかった場合 ／ 10番 完了画面で確認する（成功・失敗の件数）</t>
        </is>
      </c>
      <c r="P72" s="13" t="inlineStr"/>
      <c r="Q72" s="13" t="inlineStr"/>
      <c r="R72" s="13" t="inlineStr"/>
      <c r="S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20" t="inlineStr">
        <is>
          <t>—</t>
        </is>
      </c>
      <c r="I73" s="10" t="inlineStr">
        <is>
          <r>
            <rPr>
              <b val="1"/>
              <sz val="10"/>
            </rPr>
            <t>中途半端なレコードがDBに残る。</t>
          </r>
          <r>
            <rPr>
              <sz val="10"/>
            </rPr>
            <t xml:space="preserve"> 招待も届かず、再取り込みもできない幽霊データになる</t>
          </r>
        </is>
      </c>
      <c r="J73" s="12" t="inlineStr">
        <is>
          <t>2</t>
        </is>
      </c>
      <c r="K73" s="10" t="inlineStr">
        <is>
          <t>完了</t>
        </is>
      </c>
      <c r="L73" s="10" t="inlineStr">
        <is>
          <t>動作確認＋DB確認</t>
        </is>
      </c>
      <c r="M73" s="10" t="inlineStr">
        <is>
          <r>
            <rPr>
              <b val="1"/>
              <sz val="10"/>
            </rPr>
            <t>設計の背骨②</t>
          </r>
          <r>
            <rPr>
              <sz val="10"/>
            </rPr>
            <t>／README §7.7</t>
          </r>
        </is>
      </c>
      <c r="N73" s="10" t="inlineStr">
        <is>
          <t>OP-503</t>
        </is>
      </c>
      <c r="O73" s="20" t="inlineStr">
        <is>
          <t>10番 一部が登録できなかった場合</t>
        </is>
      </c>
      <c r="P73" s="13" t="inlineStr"/>
      <c r="Q73" s="13" t="inlineStr"/>
      <c r="R73" s="13" t="inlineStr"/>
      <c r="S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20" t="inlineStr">
        <is>
          <t>—</t>
        </is>
      </c>
      <c r="I74" s="10" t="inlineStr">
        <is>
          <r>
            <rPr>
              <b val="1"/>
              <sz val="10"/>
            </rPr>
            <t>個々の条件が合格でも、通しで完了しなければこの機能の価値が出ない。</t>
          </r>
          <r>
            <rPr>
              <sz val="10"/>
            </rPr>
            <t xml:space="preserve"> 導入の障壁を下げるための機能であり、途中で止まれば意味がない</t>
          </r>
        </is>
      </c>
      <c r="J74" s="12" t="inlineStr">
        <is>
          <t>2</t>
        </is>
      </c>
      <c r="K74" s="10" t="inlineStr">
        <is>
          <t>全画面（通し）</t>
        </is>
      </c>
      <c r="L74" s="10" t="inlineStr">
        <is>
          <t>動作確認（検証プラン）</t>
        </is>
      </c>
      <c r="M74" s="10" t="inlineStr">
        <is>
          <t>仕様書 1.1 何を解決しているか</t>
        </is>
      </c>
      <c r="N74" s="10" t="inlineStr">
        <is>
          <t>OP-620</t>
        </is>
      </c>
      <c r="O74" s="20" t="inlineStr">
        <is>
          <t>3番 はじめて登録する方へ（CSVで一括登録） ／ 10番 招待メールを送る</t>
        </is>
      </c>
      <c r="P74" s="13" t="inlineStr"/>
      <c r="Q74" s="13" t="inlineStr"/>
      <c r="R74" s="13" t="inlineStr"/>
      <c r="S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20" t="inlineStr">
        <is>
          <t>—</t>
        </is>
      </c>
      <c r="I75" s="10" t="inlineStr">
        <is>
          <r>
            <rPr>
              <b val="1"/>
              <sz val="10"/>
            </rPr>
            <t>CSVを使わない顧客がセルフスタートできない。</t>
          </r>
          <r>
            <rPr>
              <sz val="10"/>
            </rPr>
            <t xml:space="preserve"> 導入の障壁を下げる機能として成立しない</t>
          </r>
        </is>
      </c>
      <c r="J75" s="14" t="inlineStr">
        <is>
          <t>1</t>
        </is>
      </c>
      <c r="K75" s="10" t="inlineStr">
        <is>
          <t>初期セットアップ（通し）</t>
        </is>
      </c>
      <c r="L75" s="10" t="inlineStr">
        <is>
          <t>動作確認（検証プラン）</t>
        </is>
      </c>
      <c r="M75" s="10" t="inlineStr">
        <is>
          <t>owner-mock §3.3／仕様書 1.1</t>
        </is>
      </c>
      <c r="N75" s="10" t="inlineStr">
        <is>
          <t>OP-031</t>
        </is>
      </c>
      <c r="O75" s="20" t="inlineStr">
        <is>
          <t>2番 登録の手順（4種類そろえば打刻を始められます）</t>
        </is>
      </c>
      <c r="P75" s="13" t="inlineStr"/>
      <c r="Q75" s="13" t="inlineStr"/>
      <c r="R75" s="13" t="inlineStr"/>
      <c r="S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20" t="inlineStr">
        <is>
          <t>—</t>
        </is>
      </c>
      <c r="I76" s="10" t="inlineStr">
        <is>
          <r>
            <rPr>
              <b val="1"/>
              <sz val="10"/>
            </rPr>
            <t>同じ人に2通の招待が届き、パスワード設定URLが2つできる。</t>
          </r>
          <r>
            <rPr>
              <sz val="10"/>
            </rPr>
            <t xml:space="preserve"> 利用者が混乱し、アカウントが分裂する</t>
          </r>
        </is>
      </c>
      <c r="J76" s="14" t="inlineStr">
        <is>
          <t>1 / 3</t>
        </is>
      </c>
      <c r="K76" s="10" t="inlineStr">
        <is>
          <t>従業員一覧／管理者一覧／メール</t>
        </is>
      </c>
      <c r="L76" s="10" t="inlineStr">
        <is>
          <t>動作確認（検証プラン）</t>
        </is>
      </c>
      <c r="M76" s="10" t="inlineStr">
        <is>
          <t>owner-mock §16 アカウント衝突回避</t>
        </is>
      </c>
      <c r="N76" s="10" t="inlineStr">
        <is>
          <t>OP-032</t>
        </is>
      </c>
      <c r="O76" s="20" t="inlineStr">
        <is>
          <t>7番 管理者（同じメールアドレス） ／ 14番 同じ方が2人登録されてしまった</t>
        </is>
      </c>
      <c r="P76" s="13" t="inlineStr"/>
      <c r="Q76" s="13" t="inlineStr"/>
      <c r="R76" s="13" t="inlineStr"/>
      <c r="S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20" t="inlineStr">
        <is>
          <t>—</t>
        </is>
      </c>
      <c r="I77" s="10" t="inlineStr">
        <is>
          <t>固まったと思って離脱・再実行される</t>
        </is>
      </c>
      <c r="J77" s="12" t="inlineStr">
        <is>
          <t>2</t>
        </is>
      </c>
      <c r="K77" s="10" t="inlineStr">
        <is>
          <t>実行中</t>
        </is>
      </c>
      <c r="L77" s="10" t="inlineStr">
        <is>
          <t>動作確認（検証プラン）</t>
        </is>
      </c>
      <c r="M77" s="10" t="inlineStr">
        <is>
          <t>README §9.1</t>
        </is>
      </c>
      <c r="N77" s="10" t="inlineStr">
        <is>
          <t>OP-401</t>
        </is>
      </c>
      <c r="O77" s="20" t="inlineStr">
        <is>
          <t>9番 取り込みを実行する</t>
        </is>
      </c>
      <c r="P77" s="13" t="inlineStr"/>
      <c r="Q77" s="13" t="inlineStr"/>
      <c r="R77" s="13" t="inlineStr"/>
      <c r="S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OP-404（取り込み対象0件）実行ボタンが押せない状態になり「取り込めるデータが1件もありません」と表示される ／ CA-051（プレビューの件数集計）新規6・更新2・エラー2と表示され、実行ボタンは「8件をインポート」と出る</t>
        </is>
      </c>
      <c r="H78" s="20" t="inlineStr">
        <is>
          <t>—</t>
        </is>
      </c>
      <c r="I78" s="10" t="inlineStr">
        <is>
          <t>0件で実行でき、「完了」と出て顧客が混乱する</t>
        </is>
      </c>
      <c r="J78" s="12" t="inlineStr">
        <is>
          <t>2</t>
        </is>
      </c>
      <c r="K78" s="10" t="inlineStr">
        <is>
          <t>プレビュー</t>
        </is>
      </c>
      <c r="L78" s="10" t="inlineStr">
        <is>
          <t>動作確認（検証プラン）</t>
        </is>
      </c>
      <c r="M78" s="10" t="inlineStr">
        <is>
          <t>README §9.4</t>
        </is>
      </c>
      <c r="N78" s="10" t="inlineStr">
        <is>
          <t>OP-404 / CA-051</t>
        </is>
      </c>
      <c r="O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P78" s="13" t="inlineStr"/>
      <c r="Q78" s="13" t="inlineStr"/>
      <c r="R78" s="13" t="inlineStr"/>
      <c r="S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20" t="inlineStr">
        <is>
          <t>—（「次にやること」は AC-045、履歴は AC-048 が判定する。前提ではない）</t>
        </is>
      </c>
      <c r="I79" s="10" t="inlineStr">
        <is>
          <t>成功したのか失敗したのか分からない</t>
        </is>
      </c>
      <c r="J79" s="12" t="inlineStr">
        <is>
          <t>2</t>
        </is>
      </c>
      <c r="K79" s="10" t="inlineStr">
        <is>
          <t>完了</t>
        </is>
      </c>
      <c r="L79" s="10" t="inlineStr">
        <is>
          <t>動作確認（検証プラン）</t>
        </is>
      </c>
      <c r="M79" s="10" t="inlineStr">
        <is>
          <t>フローA【4】</t>
        </is>
      </c>
      <c r="N79" s="10" t="inlineStr">
        <is>
          <t>OP-501 / CA-053</t>
        </is>
      </c>
      <c r="O79" s="20" t="inlineStr">
        <is>
          <t>10番 完了画面で確認する ／ 10番 完了画面で確認する（成功・失敗の件数）</t>
        </is>
      </c>
      <c r="P79" s="13" t="inlineStr"/>
      <c r="Q79" s="13" t="inlineStr"/>
      <c r="R79" s="13" t="inlineStr"/>
      <c r="S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20" t="inlineStr">
        <is>
          <t>—</t>
        </is>
      </c>
      <c r="I80" s="10" t="inlineStr">
        <is>
          <t>落としたCSVをそのまま直せず、手作業で作り直しになる</t>
        </is>
      </c>
      <c r="J80" s="12" t="inlineStr">
        <is>
          <t>2</t>
        </is>
      </c>
      <c r="K80" s="10" t="inlineStr">
        <is>
          <t>完了</t>
        </is>
      </c>
      <c r="L80" s="10" t="inlineStr">
        <is>
          <t>動作確認（検証プラン）</t>
        </is>
      </c>
      <c r="M80" s="10" t="inlineStr">
        <is>
          <t>フローC</t>
        </is>
      </c>
      <c r="N80" s="10" t="inlineStr">
        <is>
          <t>OP-503</t>
        </is>
      </c>
      <c r="O80" s="20" t="inlineStr">
        <is>
          <t>10番 一部が登録できなかった場合</t>
        </is>
      </c>
      <c r="P80" s="13" t="inlineStr"/>
      <c r="Q80" s="13" t="inlineStr"/>
      <c r="R80" s="13" t="inlineStr"/>
      <c r="S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20" t="inlineStr">
        <is>
          <t>—</t>
        </is>
      </c>
      <c r="I81" s="10" t="inlineStr">
        <is>
          <t>登録しても誰もログインできない</t>
        </is>
      </c>
      <c r="J81" s="12" t="inlineStr">
        <is>
          <t>2</t>
        </is>
      </c>
      <c r="K81" s="10" t="inlineStr">
        <is>
          <t>完了</t>
        </is>
      </c>
      <c r="L81" s="10" t="inlineStr">
        <is>
          <t>動作確認（検証プラン）</t>
        </is>
      </c>
      <c r="M81" s="10" t="inlineStr">
        <is>
          <t>フローA【4】</t>
        </is>
      </c>
      <c r="N81" s="10" t="inlineStr">
        <is>
          <t>OP-505</t>
        </is>
      </c>
      <c r="O81" s="20" t="inlineStr">
        <is>
          <t>10番 招待メールを送る</t>
        </is>
      </c>
      <c r="P81" s="13" t="inlineStr"/>
      <c r="Q81" s="13" t="inlineStr"/>
      <c r="R81" s="13" t="inlineStr"/>
      <c r="S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20" t="inlineStr">
        <is>
          <t>—</t>
        </is>
      </c>
      <c r="I82" s="10" t="inlineStr">
        <is>
          <t>実行中に離脱され、途中状態になる</t>
        </is>
      </c>
      <c r="J82" s="12" t="inlineStr">
        <is>
          <t>2</t>
        </is>
      </c>
      <c r="K82" s="10" t="inlineStr">
        <is>
          <t>実行中</t>
        </is>
      </c>
      <c r="L82" s="10" t="inlineStr">
        <is>
          <t>動作確認（検証プラン）</t>
        </is>
      </c>
      <c r="M82" s="10" t="inlineStr">
        <is>
          <t>README §9.2</t>
        </is>
      </c>
      <c r="N82" s="10" t="inlineStr">
        <is>
          <t>OP-401</t>
        </is>
      </c>
      <c r="O82" s="20" t="inlineStr">
        <is>
          <t>9番 取り込みを実行する</t>
        </is>
      </c>
      <c r="P82" s="13" t="inlineStr"/>
      <c r="Q82" s="13" t="inlineStr"/>
      <c r="R82" s="13" t="inlineStr"/>
      <c r="S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20" t="inlineStr">
        <is>
          <t>—</t>
        </is>
      </c>
      <c r="I83" s="10" t="inlineStr">
        <is>
          <t>次に何をすればいいか分からず、複数店舗の設定が漏れる</t>
        </is>
      </c>
      <c r="J83" s="12" t="inlineStr">
        <is>
          <t>2</t>
        </is>
      </c>
      <c r="K83" s="10" t="inlineStr">
        <is>
          <t>完了</t>
        </is>
      </c>
      <c r="L83" s="10" t="inlineStr">
        <is>
          <t>動作確認（検証プラン）</t>
        </is>
      </c>
      <c r="M83" s="10" t="inlineStr">
        <is>
          <t>README §9.7</t>
        </is>
      </c>
      <c r="N83" s="10" t="inlineStr">
        <is>
          <t>OP-501</t>
        </is>
      </c>
      <c r="O83" s="20" t="inlineStr">
        <is>
          <t>10番 完了画面で確認する</t>
        </is>
      </c>
      <c r="P83" s="13" t="inlineStr"/>
      <c r="Q83" s="13" t="inlineStr"/>
      <c r="R83" s="13" t="inlineStr"/>
      <c r="S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20" t="inlineStr">
        <is>
          <t>—</t>
        </is>
      </c>
      <c r="I84" s="10" t="inlineStr">
        <is>
          <t>いつ何を取り込んだか追えない</t>
        </is>
      </c>
      <c r="J84" s="12" t="inlineStr">
        <is>
          <t>2</t>
        </is>
      </c>
      <c r="K84" s="10" t="inlineStr">
        <is>
          <t>完了</t>
        </is>
      </c>
      <c r="L84" s="10" t="inlineStr">
        <is>
          <t>動作確認（検証プラン）</t>
        </is>
      </c>
      <c r="M84" s="10" t="inlineStr">
        <is>
          <t>README §9.6</t>
        </is>
      </c>
      <c r="N84" s="10" t="inlineStr">
        <is>
          <t>OP-501</t>
        </is>
      </c>
      <c r="O84" s="20" t="inlineStr">
        <is>
          <t>10番 完了画面で確認する</t>
        </is>
      </c>
      <c r="P84" s="13" t="inlineStr"/>
      <c r="Q84" s="13" t="inlineStr"/>
      <c r="R84" s="13" t="inlineStr"/>
      <c r="S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20" t="inlineStr">
        <is>
          <t>—</t>
        </is>
      </c>
      <c r="I85" s="10" t="inlineStr">
        <is>
          <r>
            <rPr>
              <b val="1"/>
              <sz val="10"/>
            </rPr>
            <t>列が取りこぼされ、登録したはずの情報が入っていない</t>
          </r>
        </is>
      </c>
      <c r="J85" s="12" t="inlineStr">
        <is>
          <t>2</t>
        </is>
      </c>
      <c r="K85" s="10" t="inlineStr">
        <is>
          <t>業態設定 / 従業員一覧 / 管理者一覧</t>
        </is>
      </c>
      <c r="L85" s="10" t="inlineStr">
        <is>
          <t>動作確認＋DB確認</t>
        </is>
      </c>
      <c r="M85" s="10" t="inlineStr">
        <is>
          <t>README §4.4</t>
        </is>
      </c>
      <c r="N85" s="10" t="inlineStr">
        <is>
          <t>OP-601 / OP-604 / OP-605 / OP-606</t>
        </is>
      </c>
      <c r="O85" s="20" t="inlineStr">
        <is>
          <t>7番 従業員（列と入力内容） ／ 7番 従業員（従業員コードは空欄で自動採番） ／ 7番 管理者（管理者名・メールアドレス・担当店舗）</t>
        </is>
      </c>
      <c r="P85" s="13" t="inlineStr"/>
      <c r="Q85" s="13" t="inlineStr"/>
      <c r="R85" s="13" t="inlineStr"/>
      <c r="S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20" t="inlineStr">
        <is>
          <t>—</t>
        </is>
      </c>
      <c r="I86" s="10" t="inlineStr">
        <is>
          <r>
            <rPr>
              <b val="1"/>
              <sz val="10"/>
            </rPr>
            <t>コードが重複してDB制約違反になる。</t>
          </r>
          <r>
            <rPr>
              <sz val="10"/>
            </rPr>
            <t xml:space="preserve"> 全社横断でユニーク</t>
          </r>
        </is>
      </c>
      <c r="J86" s="12" t="inlineStr">
        <is>
          <t>2</t>
        </is>
      </c>
      <c r="K86" s="10" t="inlineStr">
        <is>
          <t>従業員一覧</t>
        </is>
      </c>
      <c r="L86" s="10" t="inlineStr">
        <is>
          <t>動作確認＋DB確認</t>
        </is>
      </c>
      <c r="M86" s="10" t="inlineStr">
        <is>
          <t>README §8.1</t>
        </is>
      </c>
      <c r="N86" s="10" t="inlineStr">
        <is>
          <t>OP-605 / CA-071</t>
        </is>
      </c>
      <c r="O86" s="20" t="inlineStr">
        <is>
          <t>7番 従業員（従業員コードは空欄で自動採番）</t>
        </is>
      </c>
      <c r="P86" s="13" t="inlineStr"/>
      <c r="Q86" s="13" t="inlineStr"/>
      <c r="R86" s="13" t="inlineStr"/>
      <c r="S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OP-607（昇格時の勤務店舗維持）元の2店舗の所属が維持されている ／ CA-061（担当店舗のマージ）どちらも2店舗のまま。消えず、重複もしない</t>
        </is>
      </c>
      <c r="H87" s="20" t="inlineStr">
        <is>
          <t>—</t>
        </is>
      </c>
      <c r="I87" s="10" t="inlineStr">
        <is>
          <r>
            <rPr>
              <b val="1"/>
              <sz val="10"/>
            </rPr>
            <t>昇格した店長が打刻できなくなる。</t>
          </r>
          <r>
            <rPr>
              <sz val="10"/>
            </rPr>
            <t xml:space="preserve"> 勤務店舗が消えると出退勤が記録できない</t>
          </r>
        </is>
      </c>
      <c r="J87" s="12" t="inlineStr">
        <is>
          <t>2 / 4</t>
        </is>
      </c>
      <c r="K87" s="10" t="inlineStr">
        <is>
          <t>従業員一覧</t>
        </is>
      </c>
      <c r="L87" s="10" t="inlineStr">
        <is>
          <t>動作確認（検証プラン）</t>
        </is>
      </c>
      <c r="M87" s="10" t="inlineStr">
        <is>
          <r>
            <rPr>
              <b val="1"/>
              <sz val="10"/>
            </rPr>
            <t>設計の背骨⑤</t>
          </r>
          <r>
            <rPr>
              <sz val="10"/>
            </rPr>
            <t>／フローD／README §7.1</t>
          </r>
        </is>
      </c>
      <c r="N87" s="10" t="inlineStr">
        <is>
          <t>OP-607 / CA-061</t>
        </is>
      </c>
      <c r="O87" s="20" t="inlineStr">
        <is>
          <t>7番 管理者（勤務店舗は自動的に維持されます）</t>
        </is>
      </c>
      <c r="P87" s="13" t="inlineStr"/>
      <c r="Q87" s="13" t="inlineStr"/>
      <c r="R87" s="13" t="inlineStr"/>
      <c r="S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20" t="inlineStr">
        <is>
          <t>—</t>
        </is>
      </c>
      <c r="I88" s="10" t="inlineStr">
        <is>
          <t>新規管理者に担当店舗が入らず、何も管理できない</t>
        </is>
      </c>
      <c r="J88" s="12" t="inlineStr">
        <is>
          <t>2 / 4</t>
        </is>
      </c>
      <c r="K88" s="10" t="inlineStr">
        <is>
          <t>管理者一覧</t>
        </is>
      </c>
      <c r="L88" s="10" t="inlineStr">
        <is>
          <t>動作確認（検証プラン）</t>
        </is>
      </c>
      <c r="M88" s="10" t="inlineStr">
        <is>
          <t>README §7.1</t>
        </is>
      </c>
      <c r="N88" s="10" t="inlineStr">
        <is>
          <t>CA-062</t>
        </is>
      </c>
      <c r="O88" s="20" t="inlineStr">
        <is>
          <t>7番 管理者（担当店舗は半角カンマ区切り）</t>
        </is>
      </c>
      <c r="P88" s="13" t="inlineStr"/>
      <c r="Q88" s="13" t="inlineStr"/>
      <c r="R88" s="13" t="inlineStr"/>
      <c r="S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20" t="inlineStr">
        <is>
          <t>—</t>
        </is>
      </c>
      <c r="I89" s="10" t="inlineStr">
        <is>
          <t>担当店舗が重複して増え続ける</t>
        </is>
      </c>
      <c r="J89" s="12" t="inlineStr">
        <is>
          <t>2 / 4</t>
        </is>
      </c>
      <c r="K89" s="10" t="inlineStr">
        <is>
          <t>従業員一覧</t>
        </is>
      </c>
      <c r="L89" s="10" t="inlineStr">
        <is>
          <t>動作確認（検証プラン）</t>
        </is>
      </c>
      <c r="M89" s="10" t="inlineStr">
        <is>
          <t>README §7.1</t>
        </is>
      </c>
      <c r="N89" s="10" t="inlineStr">
        <is>
          <t>CA-061</t>
        </is>
      </c>
      <c r="O89" s="20" t="inlineStr">
        <is>
          <t>7番 管理者（勤務店舗は自動的に維持されます）</t>
        </is>
      </c>
      <c r="P89" s="13" t="inlineStr"/>
      <c r="Q89" s="13" t="inlineStr"/>
      <c r="R89" s="13" t="inlineStr"/>
      <c r="S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20" t="inlineStr">
        <is>
          <t>—</t>
        </is>
      </c>
      <c r="I90" s="10" t="inlineStr">
        <is>
          <r>
            <rPr>
              <b val="1"/>
              <sz val="10"/>
            </rPr>
            <t>顧客の既存コード体系を持ち込めない。</t>
          </r>
          <r>
            <rPr>
              <sz val="10"/>
            </rPr>
            <t xml:space="preserve"> 指定コードが無視されると AC-035（退職者と同じ従業員コードはエラー）が成立せず、退職者の復活を止められない。従業員コードは突合キー（README §4.4）</t>
          </r>
        </is>
      </c>
      <c r="J90" s="12" t="inlineStr">
        <is>
          <t>2</t>
        </is>
      </c>
      <c r="K90" s="10" t="inlineStr">
        <is>
          <t>従業員一覧</t>
        </is>
      </c>
      <c r="L90" s="10" t="inlineStr">
        <is>
          <t>動作確認（検証プラン）</t>
        </is>
      </c>
      <c r="M90" s="10" t="inlineStr">
        <is>
          <t>README §8.1</t>
        </is>
      </c>
      <c r="N90" s="10" t="inlineStr">
        <is>
          <t>CA-071</t>
        </is>
      </c>
      <c r="O90" s="20" t="inlineStr">
        <is>
          <t>7番 従業員（従業員コードは空欄で自動採番）</t>
        </is>
      </c>
      <c r="P90" s="13" t="inlineStr"/>
      <c r="Q90" s="13" t="inlineStr"/>
      <c r="R90" s="13" t="inlineStr"/>
      <c r="S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20" t="inlineStr">
        <is>
          <t>—</t>
        </is>
      </c>
      <c r="I91" s="10" t="inlineStr">
        <is>
          <r>
            <rPr>
              <b val="1"/>
              <sz val="10"/>
            </rPr>
            <t>再取り込みで既存が勝手に書き換わる。</t>
          </r>
          <r>
            <rPr>
              <sz val="10"/>
            </rPr>
            <t xml:space="preserve"> 「スキップ」が効かないと運用で事故る</t>
          </r>
        </is>
      </c>
      <c r="J91" s="16" t="inlineStr">
        <is>
          <t>4</t>
        </is>
      </c>
      <c r="K91" s="10" t="inlineStr">
        <is>
          <t>プレビュー/完了</t>
        </is>
      </c>
      <c r="L91" s="10" t="inlineStr">
        <is>
          <t>動作確認（検証プラン）</t>
        </is>
      </c>
      <c r="M91" s="10" t="inlineStr">
        <is>
          <t>フローE／README §8.2</t>
        </is>
      </c>
      <c r="N91" s="10" t="inlineStr">
        <is>
          <t>OP-701</t>
        </is>
      </c>
      <c r="O91" s="20" t="inlineStr">
        <is>
          <t>8番 すでに登録されている内容の扱い（スキップ）</t>
        </is>
      </c>
      <c r="P91" s="13" t="inlineStr"/>
      <c r="Q91" s="13" t="inlineStr"/>
      <c r="R91" s="13" t="inlineStr"/>
      <c r="S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20" t="inlineStr">
        <is>
          <t>—</t>
        </is>
      </c>
      <c r="I92" s="10" t="inlineStr">
        <is>
          <r>
            <rPr>
              <b val="1"/>
              <sz val="10"/>
            </rPr>
            <t>空欄で既存の値が消える。</t>
          </r>
          <r>
            <rPr>
              <sz val="10"/>
            </rPr>
            <t xml:space="preserve"> 顧客が意図せずデータを失い、元に戻せない</t>
          </r>
        </is>
      </c>
      <c r="J92" s="16" t="inlineStr">
        <is>
          <t>4</t>
        </is>
      </c>
      <c r="K92" s="10" t="inlineStr">
        <is>
          <t>従業員一覧</t>
        </is>
      </c>
      <c r="L92" s="10" t="inlineStr">
        <is>
          <t>動作確認（検証プラン）</t>
        </is>
      </c>
      <c r="M92" s="10" t="inlineStr">
        <is>
          <r>
            <rPr>
              <b val="1"/>
              <sz val="10"/>
            </rPr>
            <t>設計の背骨③</t>
          </r>
          <r>
            <rPr>
              <sz val="10"/>
            </rPr>
            <t>／フローE／README §8.2</t>
          </r>
        </is>
      </c>
      <c r="N92" s="10" t="inlineStr">
        <is>
          <t>OP-703</t>
        </is>
      </c>
      <c r="O92" s="20" t="inlineStr">
        <is>
          <t>8番 空欄にした項目は変更されません ／ 12番 入力済みの値を空にしたい</t>
        </is>
      </c>
      <c r="P92" s="13" t="inlineStr"/>
      <c r="Q92" s="13" t="inlineStr"/>
      <c r="R92" s="13" t="inlineStr"/>
      <c r="S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20" t="inlineStr">
        <is>
          <t>—</t>
        </is>
      </c>
      <c r="I93" s="10" t="inlineStr">
        <is>
          <t>重複時の処理を「上書き」にすると、既存管理者の権限が壊れる</t>
        </is>
      </c>
      <c r="J93" s="16" t="inlineStr">
        <is>
          <t>4</t>
        </is>
      </c>
      <c r="K93" s="10" t="inlineStr">
        <is>
          <t>プレビュー</t>
        </is>
      </c>
      <c r="L93" s="10" t="inlineStr">
        <is>
          <t>動作確認（検証プラン）</t>
        </is>
      </c>
      <c r="M93" s="10" t="inlineStr">
        <is>
          <t>README §8.7</t>
        </is>
      </c>
      <c r="N93" s="10" t="inlineStr">
        <is>
          <t>OP-704</t>
        </is>
      </c>
      <c r="O93" s="20" t="inlineStr">
        <is>
          <t>8番 管理者の判定について（重複時の処理の設定によらない）</t>
        </is>
      </c>
      <c r="P93" s="13" t="inlineStr"/>
      <c r="Q93" s="13" t="inlineStr"/>
      <c r="R93" s="13" t="inlineStr"/>
      <c r="S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20" t="inlineStr">
        <is>
          <t>—</t>
        </is>
      </c>
      <c r="I94" s="10" t="inlineStr">
        <is>
          <r>
            <rPr>
              <b val="1"/>
              <sz val="10"/>
            </rPr>
            <t>再開しても中身が違えば、顧客は入力し直しになる。</t>
          </r>
          <r>
            <rPr>
              <sz val="10"/>
            </rPr>
            <t xml:space="preserve"> 中断機能の意味が無くなる</t>
          </r>
        </is>
      </c>
      <c r="J94" s="12" t="inlineStr">
        <is>
          <t>2</t>
        </is>
      </c>
      <c r="K94" s="10" t="inlineStr">
        <is>
          <t>アップロード画面</t>
        </is>
      </c>
      <c r="L94" s="10" t="inlineStr">
        <is>
          <t>動作確認（検証プラン）</t>
        </is>
      </c>
      <c r="M94" s="10" t="inlineStr">
        <is>
          <t>フローG</t>
        </is>
      </c>
      <c r="N94" s="10" t="inlineStr">
        <is>
          <t>OP-709</t>
        </is>
      </c>
      <c r="O94" s="20" t="inlineStr">
        <is>
          <t>3番 途中でやめて、後日続ける（復元される範囲）</t>
        </is>
      </c>
      <c r="P94" s="13" t="inlineStr"/>
      <c r="Q94" s="13" t="inlineStr"/>
      <c r="R94" s="13" t="inlineStr"/>
      <c r="S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20" t="inlineStr">
        <is>
          <t>—</t>
        </is>
      </c>
      <c r="I95" s="10" t="inlineStr">
        <is>
          <r>
            <rPr>
              <b val="1"/>
              <sz val="10"/>
            </rPr>
            <t>身に覚えのないデータが登録される。</t>
          </r>
          <r>
            <rPr>
              <sz val="10"/>
            </rPr>
            <t xml:space="preserve"> 中断分が新規の取り込みに混ざる</t>
          </r>
        </is>
      </c>
      <c r="J95" s="12" t="inlineStr">
        <is>
          <t>2</t>
        </is>
      </c>
      <c r="K95" s="10" t="inlineStr">
        <is>
          <t>アップロード画面</t>
        </is>
      </c>
      <c r="L95" s="10" t="inlineStr">
        <is>
          <t>動作確認（検証プラン）</t>
        </is>
      </c>
      <c r="M95" s="10" t="inlineStr">
        <is>
          <t>フローG</t>
        </is>
      </c>
      <c r="N95" s="10" t="inlineStr">
        <is>
          <t>OP-710</t>
        </is>
      </c>
      <c r="O95" s="20" t="inlineStr">
        <is>
          <t>—</t>
        </is>
      </c>
      <c r="P95" s="13" t="inlineStr"/>
      <c r="Q95" s="13" t="inlineStr"/>
      <c r="R95" s="13" t="inlineStr"/>
      <c r="S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20" t="inlineStr">
        <is>
          <t>—（上書き更新の対象列は AC-063 が判定する。前提ではない）</t>
        </is>
      </c>
      <c r="I96" s="10" t="inlineStr">
        <is>
          <t>更新したはずの列が反映されず、顧客が気づかないまま古い値で運用される</t>
        </is>
      </c>
      <c r="J96" s="16" t="inlineStr">
        <is>
          <t>4</t>
        </is>
      </c>
      <c r="K96" s="10" t="inlineStr">
        <is>
          <t>従業員一覧</t>
        </is>
      </c>
      <c r="L96" s="10" t="inlineStr">
        <is>
          <t>動作確認（検証プラン）</t>
        </is>
      </c>
      <c r="M96" s="10" t="inlineStr">
        <is>
          <t>フローE</t>
        </is>
      </c>
      <c r="N96" s="10" t="inlineStr">
        <is>
          <t>OP-702</t>
        </is>
      </c>
      <c r="O96" s="20" t="inlineStr">
        <is>
          <t>8番 すでに登録されている内容の扱い（上書き更新・従業員のみ）</t>
        </is>
      </c>
      <c r="P96" s="13" t="inlineStr"/>
      <c r="Q96" s="13" t="inlineStr"/>
      <c r="R96" s="13" t="inlineStr"/>
      <c r="S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20" t="inlineStr">
        <is>
          <t>—</t>
        </is>
      </c>
      <c r="I97" s="10" t="inlineStr">
        <is>
          <t>突合キーを取り違え、別レコードが増える</t>
        </is>
      </c>
      <c r="J97" s="16" t="inlineStr">
        <is>
          <t>4</t>
        </is>
      </c>
      <c r="K97" s="10" t="inlineStr">
        <is>
          <t>雇用区分設定</t>
        </is>
      </c>
      <c r="L97" s="10" t="inlineStr">
        <is>
          <t>動作確認（検証プラン）</t>
        </is>
      </c>
      <c r="M97" s="10" t="inlineStr">
        <is>
          <t>README §8.6</t>
        </is>
      </c>
      <c r="N97" s="10" t="inlineStr">
        <is>
          <t>OP-705</t>
        </is>
      </c>
      <c r="O97" s="20" t="inlineStr">
        <is>
          <t>—</t>
        </is>
      </c>
      <c r="P97" s="13" t="inlineStr"/>
      <c r="Q97" s="13" t="inlineStr"/>
      <c r="R97" s="13" t="inlineStr"/>
      <c r="S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20" t="inlineStr">
        <is>
          <t>—</t>
        </is>
      </c>
      <c r="I98" s="10" t="inlineStr">
        <is>
          <t>5種類を1日で揃えられない顧客が最初からやり直しになる</t>
        </is>
      </c>
      <c r="J98" s="12" t="inlineStr">
        <is>
          <t>2</t>
        </is>
      </c>
      <c r="K98" s="10" t="inlineStr">
        <is>
          <t>アップロード</t>
        </is>
      </c>
      <c r="L98" s="10" t="inlineStr">
        <is>
          <t>動作確認（検証プラン）</t>
        </is>
      </c>
      <c r="M98" s="10" t="inlineStr">
        <is>
          <t>フローG</t>
        </is>
      </c>
      <c r="N98" s="10" t="inlineStr">
        <is>
          <t>OP-707</t>
        </is>
      </c>
      <c r="O98" s="20" t="inlineStr">
        <is>
          <t>3番 途中でやめて、後日続ける（一時保存して中断・続きから再開）</t>
        </is>
      </c>
      <c r="P98" s="13" t="inlineStr"/>
      <c r="Q98" s="13" t="inlineStr"/>
      <c r="R98" s="13" t="inlineStr"/>
      <c r="S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20" t="inlineStr">
        <is>
          <t>—</t>
        </is>
      </c>
      <c r="I99" s="10" t="inlineStr">
        <is>
          <r>
            <rPr>
              <b val="1"/>
              <sz val="10"/>
            </rPr>
            <t>インポートの仕様が成立しない。</t>
          </r>
          <r>
            <rPr>
              <sz val="10"/>
            </rPr>
            <t xml:space="preserve"> 「できないこと」の受け皿が無くなる</t>
          </r>
        </is>
      </c>
      <c r="J99" s="18" t="inlineStr">
        <is>
          <t>3</t>
        </is>
      </c>
      <c r="K99" s="10" t="inlineStr">
        <is>
          <t>従業員一覧</t>
        </is>
      </c>
      <c r="L99" s="10" t="inlineStr">
        <is>
          <t>動作確認（検証プラン）</t>
        </is>
      </c>
      <c r="M99" s="10" t="inlineStr">
        <is>
          <t>仕様書「インポート単体では成立しない仕様」</t>
        </is>
      </c>
      <c r="N99" s="10" t="inlineStr">
        <is>
          <t>OP-609</t>
        </is>
      </c>
      <c r="O99" s="20" t="inlineStr">
        <is>
          <t>—</t>
        </is>
      </c>
      <c r="P99" s="13" t="inlineStr"/>
      <c r="Q99" s="13" t="inlineStr"/>
      <c r="R99" s="13" t="inlineStr"/>
      <c r="S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20" t="inlineStr">
        <is>
          <t>—</t>
        </is>
      </c>
      <c r="I100" s="10" t="inlineStr">
        <is>
          <r>
            <rPr>
              <b val="1"/>
              <sz val="10"/>
            </rPr>
            <t>取り込んだデータを後から直せない。</t>
          </r>
          <r>
            <rPr>
              <sz val="10"/>
            </rPr>
            <t xml:space="preserve"> 運用が回らない</t>
          </r>
        </is>
      </c>
      <c r="J100" s="18" t="inlineStr">
        <is>
          <t>3</t>
        </is>
      </c>
      <c r="K100" s="10" t="inlineStr">
        <is>
          <t>従業員一覧</t>
        </is>
      </c>
      <c r="L100" s="10" t="inlineStr">
        <is>
          <t>動作確認（検証プラン）</t>
        </is>
      </c>
      <c r="M100" s="10" t="inlineStr">
        <is>
          <t>仕様書「操作ごとの対応」</t>
        </is>
      </c>
      <c r="N100" s="10" t="inlineStr">
        <is>
          <t>OP-615</t>
        </is>
      </c>
      <c r="O100" s="20" t="inlineStr">
        <is>
          <t>4番 登録した内容を直す・消す</t>
        </is>
      </c>
      <c r="P100" s="13" t="inlineStr"/>
      <c r="Q100" s="13" t="inlineStr"/>
      <c r="R100" s="13" t="inlineStr"/>
      <c r="S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20" t="inlineStr">
        <is>
          <t>—</t>
        </is>
      </c>
      <c r="I101" s="10" t="inlineStr">
        <is>
          <r>
            <rPr>
              <b val="1"/>
              <sz val="10"/>
            </rPr>
            <t>誤って取り込んだデータを消せない。</t>
          </r>
          <r>
            <rPr>
              <sz val="10"/>
            </rPr>
            <t xml:space="preserve"> インポートに削除は無く、手入力が唯一の出口</t>
          </r>
        </is>
      </c>
      <c r="J101" s="18" t="inlineStr">
        <is>
          <t>3</t>
        </is>
      </c>
      <c r="K101" s="10" t="inlineStr">
        <is>
          <t>従業員一覧</t>
        </is>
      </c>
      <c r="L101" s="10" t="inlineStr">
        <is>
          <t>動作確認（検証プラン）</t>
        </is>
      </c>
      <c r="M101" s="10" t="inlineStr">
        <is>
          <t>仕様書「削除について」</t>
        </is>
      </c>
      <c r="N101" s="10" t="inlineStr">
        <is>
          <t>OP-615</t>
        </is>
      </c>
      <c r="O101" s="20" t="inlineStr">
        <is>
          <t>4番 登録した内容を直す・消す</t>
        </is>
      </c>
      <c r="P101" s="13" t="inlineStr"/>
      <c r="Q101" s="13" t="inlineStr"/>
      <c r="R101" s="13" t="inlineStr"/>
      <c r="S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20" t="inlineStr">
        <is>
          <t>—</t>
        </is>
      </c>
      <c r="I102" s="10" t="inlineStr">
        <is>
          <r>
            <rPr>
              <b val="1"/>
              <sz val="10"/>
            </rPr>
            <t>店長が全社マスタを書き換えられる。</t>
          </r>
          <r>
            <rPr>
              <sz val="10"/>
            </rPr>
            <t xml:space="preserve"> 他店舗に影響が及ぶ</t>
          </r>
        </is>
      </c>
      <c r="J102" s="12" t="inlineStr">
        <is>
          <t>2 / 4</t>
        </is>
      </c>
      <c r="K102" s="10" t="inlineStr">
        <is>
          <t>インポート</t>
        </is>
      </c>
      <c r="L102" s="10" t="inlineStr">
        <is>
          <t>動作確認（検証プラン）</t>
        </is>
      </c>
      <c r="M102" s="10" t="inlineStr">
        <is>
          <t>フローF</t>
        </is>
      </c>
      <c r="N102" s="10" t="inlineStr">
        <is>
          <t>OP-801</t>
        </is>
      </c>
      <c r="O102" s="20" t="inlineStr">
        <is>
          <t>13番 権限による違い</t>
        </is>
      </c>
      <c r="P102" s="13" t="inlineStr"/>
      <c r="Q102" s="13" t="inlineStr"/>
      <c r="R102" s="13" t="inlineStr"/>
      <c r="S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20" t="inlineStr">
        <is>
          <t>—</t>
        </is>
      </c>
      <c r="I103" s="10" t="inlineStr">
        <is>
          <r>
            <rPr>
              <b val="1"/>
              <sz val="10"/>
            </rPr>
            <t>店長が他店舗の従業員を登録できる。</t>
          </r>
          <r>
            <rPr>
              <sz val="10"/>
            </rPr>
            <t xml:space="preserve"> 権限設計が破綻する</t>
          </r>
        </is>
      </c>
      <c r="J103" s="12" t="inlineStr">
        <is>
          <t>2 / 4</t>
        </is>
      </c>
      <c r="K103" s="10" t="inlineStr">
        <is>
          <t>プレビュー</t>
        </is>
      </c>
      <c r="L103" s="10" t="inlineStr">
        <is>
          <t>動作確認（検証プラン）</t>
        </is>
      </c>
      <c r="M103" s="10" t="inlineStr">
        <is>
          <t>フローF</t>
        </is>
      </c>
      <c r="N103" s="10" t="inlineStr">
        <is>
          <t>OP-803</t>
        </is>
      </c>
      <c r="O103" s="20" t="inlineStr">
        <is>
          <t>13番 担当店舗以外の店舗名が入った行はエラーになります</t>
        </is>
      </c>
      <c r="P103" s="13" t="inlineStr"/>
      <c r="Q103" s="13" t="inlineStr"/>
      <c r="R103" s="13" t="inlineStr"/>
      <c r="S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20" t="inlineStr">
        <is>
          <t>—</t>
        </is>
      </c>
      <c r="I104" s="10" t="inlineStr">
        <is>
          <r>
            <rPr>
              <b val="1"/>
              <sz val="10"/>
            </rPr>
            <t>登録した内容を直せない・消せない。</t>
          </r>
          <r>
            <rPr>
              <sz val="10"/>
            </rPr>
            <t xml:space="preserve"> インポートの出口も塞がる</t>
          </r>
        </is>
      </c>
      <c r="J104" s="18" t="inlineStr">
        <is>
          <t>3</t>
        </is>
      </c>
      <c r="K104" s="10" t="inlineStr">
        <is>
          <t>各設定画面</t>
        </is>
      </c>
      <c r="L104" s="10" t="inlineStr">
        <is>
          <t>動作確認（検証プラン）</t>
        </is>
      </c>
      <c r="M104" s="10" t="inlineStr">
        <is>
          <t>owner-mock §3.3.1</t>
        </is>
      </c>
      <c r="N104" s="10" t="inlineStr">
        <is>
          <t>OP-028</t>
        </is>
      </c>
      <c r="O104" s="20" t="inlineStr">
        <is>
          <t>4番 登録した内容を直す・消す</t>
        </is>
      </c>
      <c r="P104" s="13" t="inlineStr"/>
      <c r="Q104" s="13" t="inlineStr"/>
      <c r="R104" s="13" t="inlineStr"/>
      <c r="S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20" t="inlineStr">
        <is>
          <t>—</t>
        </is>
      </c>
      <c r="I105" s="10" t="inlineStr">
        <is>
          <r>
            <rPr>
              <b val="1"/>
              <sz val="10"/>
            </rPr>
            <t>1人だけ増えたときにCSVを作らせることになる。</t>
          </r>
          <r>
            <rPr>
              <sz val="10"/>
            </rPr>
            <t xml:space="preserve"> 日常運用の大半は1〜2件の追加。運用更新モードには順序ガードが無く、どの種別からでも追加できる必要がある</t>
          </r>
        </is>
      </c>
      <c r="J105" s="18" t="inlineStr">
        <is>
          <t>3</t>
        </is>
      </c>
      <c r="K105" s="10" t="inlineStr">
        <is>
          <t>各設定画面（運用）</t>
        </is>
      </c>
      <c r="L105" s="10" t="inlineStr">
        <is>
          <t>動作確認（検証プラン）</t>
        </is>
      </c>
      <c r="M105" s="10" t="inlineStr">
        <is>
          <t>owner-mock §3.3.1／仕様書「ケース別の遷移フロー（手入力）」</t>
        </is>
      </c>
      <c r="N105" s="10" t="inlineStr">
        <is>
          <t>OP-029</t>
        </is>
      </c>
      <c r="O105" s="20" t="inlineStr">
        <is>
          <t>—</t>
        </is>
      </c>
      <c r="P105" s="13" t="inlineStr"/>
      <c r="Q105" s="13" t="inlineStr"/>
      <c r="R105" s="13" t="inlineStr"/>
      <c r="S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20" t="inlineStr">
        <is>
          <t>—</t>
        </is>
      </c>
      <c r="I106" s="10" t="inlineStr">
        <is>
          <t>経路によって項目が欠落し、データが揃わない</t>
        </is>
      </c>
      <c r="J106" s="14" t="inlineStr">
        <is>
          <t>1 / 3</t>
        </is>
      </c>
      <c r="K106" s="10" t="inlineStr">
        <is>
          <t>各設定画面</t>
        </is>
      </c>
      <c r="L106" s="10" t="inlineStr">
        <is>
          <t>実装レビュー（登録モーダルとテンプレートの項目突合）</t>
        </is>
      </c>
      <c r="M106" s="10" t="inlineStr">
        <is>
          <t>owner-mock §3.4.1</t>
        </is>
      </c>
      <c r="N106" s="10" t="inlineStr">
        <is>
          <t>OP-612</t>
        </is>
      </c>
      <c r="O106" s="20" t="inlineStr">
        <is>
          <t>4番 入力する項目はCSVテンプレートと同じです</t>
        </is>
      </c>
      <c r="P106" s="13" t="inlineStr"/>
      <c r="Q106" s="13" t="inlineStr"/>
      <c r="R106" s="13" t="inlineStr"/>
      <c r="S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20" t="inlineStr">
        <is>
          <t>—</t>
        </is>
      </c>
      <c r="I107" s="10" t="inlineStr">
        <is>
          <t>削除の残骸が残り、再取り込みできない</t>
        </is>
      </c>
      <c r="J107" s="18" t="inlineStr">
        <is>
          <t>3</t>
        </is>
      </c>
      <c r="K107" s="10" t="inlineStr">
        <is>
          <t>プレビュー／従業員一覧</t>
        </is>
      </c>
      <c r="L107" s="10" t="inlineStr">
        <is>
          <t>動作確認（検証プラン）</t>
        </is>
      </c>
      <c r="M107" s="10" t="inlineStr">
        <is>
          <t>仕様書「削除について」</t>
        </is>
      </c>
      <c r="N107" s="10" t="inlineStr">
        <is>
          <t>OP-617</t>
        </is>
      </c>
      <c r="O107" s="20" t="inlineStr">
        <is>
          <t>12番 登録した内容を削除したい（削除後の再取り込み）</t>
        </is>
      </c>
      <c r="P107" s="13" t="inlineStr"/>
      <c r="Q107" s="13" t="inlineStr"/>
      <c r="R107" s="13" t="inlineStr"/>
      <c r="S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20" t="inlineStr">
        <is>
          <t>—</t>
        </is>
      </c>
      <c r="I108" s="10" t="inlineStr">
        <is>
          <t>取り込めたのに一覧が古く、失敗したと誤解する</t>
        </is>
      </c>
      <c r="J108" s="16" t="inlineStr">
        <is>
          <t>4</t>
        </is>
      </c>
      <c r="K108" s="10" t="inlineStr">
        <is>
          <t>完了画面</t>
        </is>
      </c>
      <c r="L108" s="10" t="inlineStr">
        <is>
          <t>動作確認（検証プラン）</t>
        </is>
      </c>
      <c r="M108" s="10" t="inlineStr">
        <is>
          <t>仕様書「連携要件C」</t>
        </is>
      </c>
      <c r="N108" s="10" t="inlineStr">
        <is>
          <t>OP-009</t>
        </is>
      </c>
      <c r="O108" s="20" t="inlineStr">
        <is>
          <t>5番 終わったあとは、入ってきた画面に戻ります</t>
        </is>
      </c>
      <c r="P108" s="13" t="inlineStr"/>
      <c r="Q108" s="13" t="inlineStr"/>
      <c r="R108" s="13" t="inlineStr"/>
      <c r="S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20" t="inlineStr">
        <is>
          <t>—</t>
        </is>
      </c>
      <c r="I109" s="10" t="inlineStr">
        <is>
          <t>オーナーが必要な種別を取り込めない</t>
        </is>
      </c>
      <c r="J109" s="12" t="inlineStr">
        <is>
          <t>2 / 4</t>
        </is>
      </c>
      <c r="K109" s="10" t="inlineStr">
        <is>
          <t>インポート</t>
        </is>
      </c>
      <c r="L109" s="10" t="inlineStr">
        <is>
          <t>動作確認（検証プラン）</t>
        </is>
      </c>
      <c r="M109" s="10" t="inlineStr">
        <is>
          <t>フローF</t>
        </is>
      </c>
      <c r="N109" s="10" t="inlineStr">
        <is>
          <t>OP-801</t>
        </is>
      </c>
      <c r="O109" s="20" t="inlineStr">
        <is>
          <t>13番 権限による違い</t>
        </is>
      </c>
      <c r="P109" s="13" t="inlineStr"/>
      <c r="Q109" s="13" t="inlineStr"/>
      <c r="R109" s="13" t="inlineStr"/>
      <c r="S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20" t="inlineStr">
        <is>
          <t>—</t>
        </is>
      </c>
      <c r="I110" s="10" t="inlineStr">
        <is>
          <t>店長が自店舗の従業員すら登録できず、機能が使えない</t>
        </is>
      </c>
      <c r="J110" s="12" t="inlineStr">
        <is>
          <t>2 / 4</t>
        </is>
      </c>
      <c r="K110" s="10" t="inlineStr">
        <is>
          <t>プレビュー／従業員一覧</t>
        </is>
      </c>
      <c r="L110" s="10" t="inlineStr">
        <is>
          <t>動作確認（検証プラン）</t>
        </is>
      </c>
      <c r="M110" s="10" t="inlineStr">
        <is>
          <t>フローF</t>
        </is>
      </c>
      <c r="N110" s="10" t="inlineStr">
        <is>
          <t>OP-804</t>
        </is>
      </c>
      <c r="O110" s="20" t="inlineStr">
        <is>
          <t>13番 権限による違い（従業員は担当店舗のみ）</t>
        </is>
      </c>
      <c r="P110" s="13" t="inlineStr"/>
      <c r="Q110" s="13" t="inlineStr"/>
      <c r="R110" s="13" t="inlineStr"/>
      <c r="S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20" t="inlineStr">
        <is>
          <t>—（項目の一致は AC-058 が判定する。前提ではない）</t>
        </is>
      </c>
      <c r="I111" s="10" t="inlineStr">
        <is>
          <t>手入力とインポートで作れるデータが違ってしまう</t>
        </is>
      </c>
      <c r="J111" s="14" t="inlineStr">
        <is>
          <t>1 / 3</t>
        </is>
      </c>
      <c r="K111" s="10" t="inlineStr">
        <is>
          <t>各設定画面</t>
        </is>
      </c>
      <c r="L111" s="10" t="inlineStr">
        <is>
          <t>動作確認（検証プラン）</t>
        </is>
      </c>
      <c r="M111" s="10" t="inlineStr">
        <is>
          <t>owner-mock §3.4.1</t>
        </is>
      </c>
      <c r="N111" s="10" t="inlineStr">
        <is>
          <t>OP-612</t>
        </is>
      </c>
      <c r="O111" s="20" t="inlineStr">
        <is>
          <t>4番 入力する項目はCSVテンプレートと同じです</t>
        </is>
      </c>
      <c r="P111" s="13" t="inlineStr"/>
      <c r="Q111" s="13" t="inlineStr"/>
      <c r="R111" s="13" t="inlineStr"/>
      <c r="S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20" t="inlineStr">
        <is>
          <t>—</t>
        </is>
      </c>
      <c r="I112" s="10" t="inlineStr">
        <is>
          <t>本番に接続する／既存データが混ざり判定が読めない</t>
        </is>
      </c>
      <c r="J112" s="12" t="inlineStr">
        <is>
          <t>2</t>
        </is>
      </c>
      <c r="K112" s="10" t="inlineStr">
        <is>
          <t>ログイン</t>
        </is>
      </c>
      <c r="L112" s="10" t="inlineStr">
        <is>
          <t>実装レビュー（検証の前提）</t>
        </is>
      </c>
      <c r="M112" s="10" t="inlineStr">
        <is>
          <t>仕様書 8.1</t>
        </is>
      </c>
      <c r="N112" s="10" t="inlineStr">
        <is>
          <t>OP-001</t>
        </is>
      </c>
      <c r="O112" s="20" t="inlineStr">
        <is>
          <t>—</t>
        </is>
      </c>
      <c r="P112" s="13" t="inlineStr"/>
      <c r="Q112" s="13" t="inlineStr"/>
      <c r="R112" s="13" t="inlineStr"/>
      <c r="S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20" t="inlineStr">
        <is>
          <t>—</t>
        </is>
      </c>
      <c r="I113" s="10" t="inlineStr">
        <is>
          <t>5分岐や重複時の処理が発生せず、検証にならない</t>
        </is>
      </c>
      <c r="J113" s="12" t="inlineStr">
        <is>
          <t>2</t>
        </is>
      </c>
      <c r="K113" s="10" t="inlineStr">
        <is>
          <t>ログイン</t>
        </is>
      </c>
      <c r="L113" s="10" t="inlineStr">
        <is>
          <t>実装レビュー（検証の前提）</t>
        </is>
      </c>
      <c r="M113" s="10" t="inlineStr">
        <is>
          <t>仕様書「新規登録と運用更新の違い」</t>
        </is>
      </c>
      <c r="N113" s="10" t="inlineStr">
        <is>
          <t>OP-001</t>
        </is>
      </c>
      <c r="O113" s="20" t="inlineStr">
        <is>
          <t>—</t>
        </is>
      </c>
      <c r="P113" s="13" t="inlineStr"/>
      <c r="Q113" s="13" t="inlineStr"/>
      <c r="R113" s="13" t="inlineStr"/>
      <c r="S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20" t="inlineStr">
        <is>
          <t>—</t>
        </is>
      </c>
      <c r="I114" s="10" t="inlineStr">
        <is>
          <t>期待動作の基準が無く、合否を判断できない</t>
        </is>
      </c>
      <c r="J114" s="12" t="inlineStr">
        <is>
          <t>2</t>
        </is>
      </c>
      <c r="K114" s="10" t="inlineStr">
        <is>
          <t>モック（公開URL）</t>
        </is>
      </c>
      <c r="L114" s="10" t="inlineStr">
        <is>
          <t>実装レビュー（モック）</t>
        </is>
      </c>
      <c r="M114" s="10" t="inlineStr">
        <is>
          <t>モック</t>
        </is>
      </c>
      <c r="N114" s="10" t="inlineStr">
        <is>
          <t>OP-007</t>
        </is>
      </c>
      <c r="O114" s="20" t="inlineStr">
        <is>
          <t>—</t>
        </is>
      </c>
      <c r="P114" s="13" t="inlineStr"/>
      <c r="Q114" s="13" t="inlineStr"/>
      <c r="R114" s="13" t="inlineStr"/>
      <c r="S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外部勤怠サービスインポートは凍結（2026-07-31 確定）で対象外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20" t="inlineStr">
        <is>
          <t>—</t>
        </is>
      </c>
      <c r="I115" s="10" t="inlineStr">
        <is>
          <r>
            <rPr>
              <b val="1"/>
              <sz val="10"/>
            </rPr>
            <t>凍結した機能を実装対象と誤解する。</t>
          </r>
          <r>
            <rPr>
              <sz val="10"/>
            </rPr>
            <t xml:space="preserve"> 2026-07-31 に凍結を確定済み</t>
          </r>
        </is>
      </c>
      <c r="J115" s="12" t="inlineStr">
        <is>
          <t>2 / 4</t>
        </is>
      </c>
      <c r="K115" s="10" t="inlineStr">
        <is>
          <t>インポートのトップ</t>
        </is>
      </c>
      <c r="L115" s="10" t="inlineStr">
        <is>
          <t>実装レビュー（対象外の確認）</t>
        </is>
      </c>
      <c r="M115" s="10" t="inlineStr">
        <is>
          <t>README §2（凍結）</t>
        </is>
      </c>
      <c r="N115" s="10" t="inlineStr">
        <is>
          <t>OP-901</t>
        </is>
      </c>
      <c r="O115" s="20" t="inlineStr">
        <is>
          <t>—</t>
        </is>
      </c>
      <c r="P115" s="13" t="inlineStr"/>
      <c r="Q115" s="13" t="inlineStr"/>
      <c r="R115" s="13" t="inlineStr"/>
      <c r="S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補完テンプレート・デフォルト値設定は凍結に付随し対象外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20" t="inlineStr">
        <is>
          <t>—</t>
        </is>
      </c>
      <c r="I116" s="10" t="inlineStr">
        <is>
          <r>
            <rPr>
              <b val="1"/>
              <sz val="10"/>
            </rPr>
            <t>凍結した外部勤怠専用の機能を実装対象と誤解する</t>
          </r>
        </is>
      </c>
      <c r="J116" s="12" t="inlineStr">
        <is>
          <t>2 / 4</t>
        </is>
      </c>
      <c r="K116" s="10" t="inlineStr">
        <is>
          <t>補完テンプレート／プレビュー</t>
        </is>
      </c>
      <c r="L116" s="10" t="inlineStr">
        <is>
          <t>実装レビュー（対象外の確認）</t>
        </is>
      </c>
      <c r="M116" s="10" t="inlineStr">
        <is>
          <t>README §2（凍結）</t>
        </is>
      </c>
      <c r="N116" s="10" t="inlineStr">
        <is>
          <t>OP-901</t>
        </is>
      </c>
      <c r="O116" s="20" t="inlineStr">
        <is>
          <t>—</t>
        </is>
      </c>
      <c r="P116" s="13" t="inlineStr"/>
      <c r="Q116" s="13" t="inlineStr"/>
      <c r="R116" s="13" t="inlineStr"/>
      <c r="S116" s="13" t="inlineStr"/>
    </row>
  </sheetData>
  <autoFilter ref="A28:S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P29:P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2026-08-07T03:01:38Z</dcterms:modified>
</cp:coreProperties>
</file>