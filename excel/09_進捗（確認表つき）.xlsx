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進捗" sheetId="1" state="visible" r:id="rId1"/>
    <sheet xmlns:r="http://schemas.openxmlformats.org/officeDocument/2006/relationships" name="確認表" sheetId="2" state="visible" r:id="rId2"/>
  </sheets>
  <definedNames>
    <definedName name="_xlnm._FilterDatabase" localSheetId="1" hidden="1">'確認表'!$A$1:$N$89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FFF2CC"/>
        </patternFill>
      </fill>
    </dxf>
    <dxf>
      <fill>
        <patternFill patternType="solid">
          <fgColor rgb="00DEEAF6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ont>
        <b val="1"/>
      </font>
      <fill>
        <patternFill patternType="solid">
          <fgColor rgb="00FFE0E0"/>
        </patternFill>
      </fill>
    </dxf>
    <dxf>
      <fill>
        <patternFill patternType="solid">
          <fgColor rgb="00D6F5D6"/>
        </patternFill>
      </fill>
    </dxf>
    <dxf>
      <fill>
        <patternFill patternType="solid">
          <fgColor rgb="00FFD6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42" customWidth="1" min="4" max="4"/>
  </cols>
  <sheetData>
    <row r="1">
      <c r="A1" s="1" t="inlineStr">
        <is>
          <t>タイムレコード 登録・編集機能　進捗</t>
        </is>
      </c>
    </row>
    <row r="3">
      <c r="A3" s="2" t="inlineStr">
        <is>
          <t>フロー</t>
        </is>
      </c>
      <c r="B3" s="2" t="inlineStr">
        <is>
          <t>MVP必須 合格</t>
        </is>
      </c>
      <c r="C3" s="2" t="inlineStr">
        <is>
          <t>MVP必須 総数</t>
        </is>
      </c>
      <c r="D3" s="2" t="inlineStr">
        <is>
          <t>内容</t>
        </is>
      </c>
    </row>
    <row r="4">
      <c r="A4" s="3" t="inlineStr">
        <is>
          <t>フロー1</t>
        </is>
      </c>
      <c r="B4" s="3">
        <f>COUNTIFS(確認表!B:B,"*1*",確認表!C:C,"MVP必須",確認表!L:L,"合格")</f>
        <v/>
      </c>
      <c r="C4" s="3">
        <f>COUNTIFS(確認表!B:B,"*1*",確認表!C:C,"MVP必須")</f>
        <v/>
      </c>
      <c r="D4" s="3" t="inlineStr">
        <is>
          <t>新規登録（手入力モーダル）</t>
        </is>
      </c>
    </row>
    <row r="5">
      <c r="A5" s="3" t="inlineStr">
        <is>
          <t>フロー2</t>
        </is>
      </c>
      <c r="B5" s="3">
        <f>COUNTIFS(確認表!B:B,"*2*",確認表!C:C,"MVP必須",確認表!L:L,"合格")</f>
        <v/>
      </c>
      <c r="C5" s="3">
        <f>COUNTIFS(確認表!B:B,"*2*",確認表!C:C,"MVP必須")</f>
        <v/>
      </c>
      <c r="D5" s="3" t="inlineStr">
        <is>
          <t>新規登録（CSVインポート）</t>
        </is>
      </c>
    </row>
    <row r="6">
      <c r="A6" s="3" t="inlineStr">
        <is>
          <t>フロー3</t>
        </is>
      </c>
      <c r="B6" s="3">
        <f>COUNTIFS(確認表!B:B,"*3*",確認表!C:C,"MVP必須",確認表!L:L,"合格")</f>
        <v/>
      </c>
      <c r="C6" s="3">
        <f>COUNTIFS(確認表!B:B,"*3*",確認表!C:C,"MVP必須")</f>
        <v/>
      </c>
      <c r="D6" s="3" t="inlineStr">
        <is>
          <t>運用の登録・編集（手入力）</t>
        </is>
      </c>
    </row>
    <row r="7">
      <c r="A7" s="3" t="inlineStr">
        <is>
          <t>フロー4</t>
        </is>
      </c>
      <c r="B7" s="3">
        <f>COUNTIFS(確認表!B:B,"*4*",確認表!C:C,"MVP必須",確認表!L:L,"合格")</f>
        <v/>
      </c>
      <c r="C7" s="3">
        <f>COUNTIFS(確認表!B:B,"*4*",確認表!C:C,"MVP必須")</f>
        <v/>
      </c>
      <c r="D7" s="3" t="inlineStr">
        <is>
          <t>運用の登録（CSV）</t>
        </is>
      </c>
    </row>
    <row r="8">
      <c r="A8" s="3" t="n"/>
      <c r="B8" s="3" t="n"/>
      <c r="C8" s="3" t="n"/>
      <c r="D8" s="3" t="n"/>
    </row>
    <row r="9">
      <c r="A9" s="2" t="inlineStr">
        <is>
          <t>マイルストーン</t>
        </is>
      </c>
      <c r="B9" s="2" t="inlineStr">
        <is>
          <t>MVP必須 合格</t>
        </is>
      </c>
      <c r="C9" s="2" t="inlineStr">
        <is>
          <t>MVP必須 総数</t>
        </is>
      </c>
      <c r="D9" s="2" t="inlineStr">
        <is>
          <t>完了とみなす条件</t>
        </is>
      </c>
    </row>
    <row r="10">
      <c r="A10" s="3" t="inlineStr">
        <is>
          <t>M1 配布物とアップロードの入口／手入力の入口</t>
        </is>
      </c>
      <c r="B10" s="3">
        <f>COUNTIFS(確認表!D:D,"M1",確認表!C:C,"MVP必須",確認表!L:L,"合格")</f>
        <v/>
      </c>
      <c r="C10" s="3">
        <f>COUNTIFS(確認表!D:D,"M1",確認表!C:C,"MVP必須")</f>
        <v/>
      </c>
      <c r="D10" s="3" t="inlineStr"/>
    </row>
    <row r="11">
      <c r="A11" s="3" t="inlineStr">
        <is>
          <t>M2 プレビューと判定／登録モーダル</t>
        </is>
      </c>
      <c r="B11" s="3">
        <f>COUNTIFS(確認表!D:D,"M2",確認表!C:C,"MVP必須",確認表!L:L,"合格")</f>
        <v/>
      </c>
      <c r="C11" s="3">
        <f>COUNTIFS(確認表!D:D,"M2",確認表!C:C,"MVP必須")</f>
        <v/>
      </c>
      <c r="D11" s="3" t="inlineStr"/>
    </row>
    <row r="12">
      <c r="A12" s="3" t="inlineStr">
        <is>
          <t>M3 実行と完了</t>
        </is>
      </c>
      <c r="B12" s="3">
        <f>COUNTIFS(確認表!D:D,"M3",確認表!C:C,"MVP必須",確認表!L:L,"合格")</f>
        <v/>
      </c>
      <c r="C12" s="3">
        <f>COUNTIFS(確認表!D:D,"M3",確認表!C:C,"MVP必須")</f>
        <v/>
      </c>
      <c r="D12" s="3" t="inlineStr"/>
    </row>
    <row r="13">
      <c r="A13" s="3" t="inlineStr">
        <is>
          <t>M4 書き込みの正しさ</t>
        </is>
      </c>
      <c r="B13" s="3">
        <f>COUNTIFS(確認表!D:D,"M4",確認表!C:C,"MVP必須",確認表!L:L,"合格")</f>
        <v/>
      </c>
      <c r="C13" s="3">
        <f>COUNTIFS(確認表!D:D,"M4",確認表!C:C,"MVP必須")</f>
        <v/>
      </c>
      <c r="D13" s="3" t="inlineStr"/>
    </row>
    <row r="14">
      <c r="A14" s="3" t="inlineStr">
        <is>
          <t>M5 運用更新と再取り込み</t>
        </is>
      </c>
      <c r="B14" s="3">
        <f>COUNTIFS(確認表!D:D,"M5",確認表!C:C,"MVP必須",確認表!L:L,"合格")</f>
        <v/>
      </c>
      <c r="C14" s="3">
        <f>COUNTIFS(確認表!D:D,"M5",確認表!C:C,"MVP必須")</f>
        <v/>
      </c>
      <c r="D14" s="3" t="inlineStr"/>
    </row>
    <row r="15">
      <c r="A15" s="3" t="inlineStr">
        <is>
          <t>M6 権限と手入力との分担</t>
        </is>
      </c>
      <c r="B15" s="3">
        <f>COUNTIFS(確認表!D:D,"M6",確認表!C:C,"MVP必須",確認表!L:L,"合格")</f>
        <v/>
      </c>
      <c r="C15" s="3">
        <f>COUNTIFS(確認表!D:D,"M6",確認表!C:C,"MVP必須")</f>
        <v/>
      </c>
      <c r="D15" s="3" t="inlineStr"/>
    </row>
    <row r="16">
      <c r="A16" s="3" t="n"/>
      <c r="B16" s="3" t="n"/>
      <c r="C16" s="3" t="n"/>
      <c r="D16" s="3" t="n"/>
    </row>
    <row r="17">
      <c r="A17" s="3" t="inlineStr">
        <is>
          <t>MVP必須 合計</t>
        </is>
      </c>
      <c r="B17" s="3">
        <f>COUNTIFS(確認表!C:C,"MVP必須",確認表!L:L,"合格")</f>
        <v/>
      </c>
      <c r="C17" s="3">
        <f>COUNTIF(確認表!C:C,"MVP必須")</f>
        <v/>
      </c>
      <c r="D17" s="3" t="inlineStr">
        <is>
          <t>すべて合格でリリース可</t>
        </is>
      </c>
    </row>
    <row r="18">
      <c r="A18" s="3" t="inlineStr">
        <is>
          <t>リリース必須 合計</t>
        </is>
      </c>
      <c r="B18" s="3">
        <f>COUNTIFS(確認表!C:C,"リリース必須",確認表!L:L,"合格")</f>
        <v/>
      </c>
      <c r="C18" s="3">
        <f>COUNTIF(確認表!C:C,"リリース必須")</f>
        <v/>
      </c>
      <c r="D18" s="3" t="inlineStr">
        <is>
          <t>不合格は影響を確認して判断</t>
        </is>
      </c>
    </row>
    <row r="19">
      <c r="A19" s="3" t="inlineStr">
        <is>
          <t>不合格（全体）</t>
        </is>
      </c>
      <c r="B19" s="3">
        <f>COUNTIF(確認表!L:L,"不合格")</f>
        <v/>
      </c>
      <c r="C19" s="3" t="inlineStr"/>
      <c r="D19" s="3" t="inlineStr">
        <is>
          <t>MVP必須に1件でもあればリリース不可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0" customWidth="1" min="4" max="4"/>
    <col width="30" customWidth="1" min="5" max="5"/>
    <col width="20" customWidth="1" min="6" max="6"/>
    <col width="52" customWidth="1" min="7" max="7"/>
    <col width="22" customWidth="1" min="8" max="8"/>
    <col width="18" customWidth="1" min="9" max="9"/>
    <col width="10" customWidth="1" min="10" max="10"/>
    <col width="34" customWidth="1" min="11" max="11"/>
    <col width="8" customWidth="1" min="12" max="12"/>
    <col width="10" customWidth="1" min="13" max="13"/>
    <col width="20" customWidth="1" min="14" max="14"/>
  </cols>
  <sheetData>
    <row r="1" ht="30" customHeight="1">
      <c r="A1" s="4" t="inlineStr">
        <is>
          <t>条件ID</t>
        </is>
      </c>
      <c r="B1" s="4" t="inlineStr">
        <is>
          <t>フロー</t>
        </is>
      </c>
      <c r="C1" s="4" t="inlineStr">
        <is>
          <t>MVP区分</t>
        </is>
      </c>
      <c r="D1" s="4" t="inlineStr">
        <is>
          <t>マイルストーン</t>
        </is>
      </c>
      <c r="E1" s="4" t="inlineStr">
        <is>
          <t>満たすべきこと</t>
        </is>
      </c>
      <c r="F1" s="4" t="inlineStr">
        <is>
          <t>実装箇所（画面・機能）</t>
        </is>
      </c>
      <c r="G1" s="4" t="inlineStr">
        <is>
          <t>合致していると言える状態</t>
        </is>
      </c>
      <c r="H1" s="4" t="inlineStr">
        <is>
          <t>確認方法</t>
        </is>
      </c>
      <c r="I1" s="4" t="inlineStr">
        <is>
          <t>根拠（検証ID）</t>
        </is>
      </c>
      <c r="J1" s="4" t="inlineStr">
        <is>
          <t>実装状況</t>
        </is>
      </c>
      <c r="K1" s="4" t="inlineStr">
        <is>
          <t>検証結果</t>
        </is>
      </c>
      <c r="L1" s="4" t="inlineStr">
        <is>
          <t>判定</t>
        </is>
      </c>
      <c r="M1" s="4" t="inlineStr">
        <is>
          <t>確認日</t>
        </is>
      </c>
      <c r="N1" s="4" t="inlineStr">
        <is>
          <t>メモ</t>
        </is>
      </c>
    </row>
    <row r="2">
      <c r="A2" s="5" t="inlineStr">
        <is>
          <t>AC-077</t>
        </is>
      </c>
      <c r="B2" s="5" t="inlineStr">
        <is>
          <t>2</t>
        </is>
      </c>
      <c r="C2" s="5" t="inlineStr">
        <is>
          <t>MVP必須</t>
        </is>
      </c>
      <c r="D2" s="5" t="inlineStr">
        <is>
          <t>M3</t>
        </is>
      </c>
      <c r="E2" s="5" t="inlineStr">
        <is>
          <t>①〜⑤を通しで取り込み、打刻を始められる状態になる</t>
        </is>
      </c>
      <c r="F2" s="5" t="inlineStr">
        <is>
          <t>全画面（通し）</t>
        </is>
      </c>
      <c r="G2" s="5" t="inlineStr">
        <is>
          <t>5種別すべてが登録され、招待メールが届き、従業員が打刻画面に到達できる</t>
        </is>
      </c>
      <c r="H2" s="5" t="inlineStr">
        <is>
          <t>動作確認（検証プラン）</t>
        </is>
      </c>
      <c r="I2" s="5" t="inlineStr">
        <is>
          <t>OP-620</t>
        </is>
      </c>
      <c r="J2" s="5" t="inlineStr"/>
      <c r="K2" s="5" t="inlineStr"/>
      <c r="L2" s="5" t="inlineStr"/>
      <c r="M2" s="5" t="inlineStr"/>
      <c r="N2" s="5" t="inlineStr"/>
    </row>
    <row r="3">
      <c r="A3" s="5" t="inlineStr">
        <is>
          <t>AC-078</t>
        </is>
      </c>
      <c r="B3" s="5" t="inlineStr">
        <is>
          <t>2 / 4</t>
        </is>
      </c>
      <c r="C3" s="5" t="inlineStr">
        <is>
          <t>MVP必須</t>
        </is>
      </c>
      <c r="D3" s="5" t="inlineStr">
        <is>
          <t>M1</t>
        </is>
      </c>
      <c r="E3" s="5" t="inlineStr">
        <is>
          <t>実運用の規模を分割せずに取り込める</t>
        </is>
      </c>
      <c r="F3" s="5" t="inlineStr">
        <is>
          <t>アップロード</t>
        </is>
      </c>
      <c r="G3" s="5" t="inlineStr">
        <is>
          <t>分割せずに受理される（④は200行、他は500行の範囲に収まる）</t>
        </is>
      </c>
      <c r="H3" s="5" t="inlineStr">
        <is>
          <t>動作確認（検証プラン）</t>
        </is>
      </c>
      <c r="I3" s="5" t="inlineStr">
        <is>
          <t>OP-620 / CA-003</t>
        </is>
      </c>
      <c r="J3" s="5" t="inlineStr"/>
      <c r="K3" s="5" t="inlineStr"/>
      <c r="L3" s="5" t="inlineStr"/>
      <c r="M3" s="5" t="inlineStr"/>
      <c r="N3" s="5" t="inlineStr"/>
    </row>
    <row r="4">
      <c r="A4" s="5" t="inlineStr">
        <is>
          <t>AC-035</t>
        </is>
      </c>
      <c r="B4" s="5" t="inlineStr">
        <is>
          <t>2</t>
        </is>
      </c>
      <c r="C4" s="5" t="inlineStr">
        <is>
          <t>MVP必須</t>
        </is>
      </c>
      <c r="D4" s="5" t="inlineStr">
        <is>
          <t>M2</t>
        </is>
      </c>
      <c r="E4" s="5" t="inlineStr">
        <is>
          <t>退職者と同じコードはエラー</t>
        </is>
      </c>
      <c r="F4" s="5" t="inlineStr">
        <is>
          <t>プレビュー</t>
        </is>
      </c>
      <c r="G4" s="5" t="inlineStr">
        <is>
          <t>退職者と同じコードの行＝エラー。取り込まれた件数＝0件</t>
        </is>
      </c>
      <c r="H4" s="5" t="inlineStr">
        <is>
          <t>動作確認（検証プラン）</t>
        </is>
      </c>
      <c r="I4" s="5" t="inlineStr">
        <is>
          <t>OP-310</t>
        </is>
      </c>
      <c r="J4" s="5" t="inlineStr"/>
      <c r="K4" s="5" t="inlineStr"/>
      <c r="L4" s="5" t="inlineStr"/>
      <c r="M4" s="5" t="inlineStr"/>
      <c r="N4" s="5" t="inlineStr"/>
    </row>
    <row r="5">
      <c r="A5" s="5" t="inlineStr">
        <is>
          <t>AC-044</t>
        </is>
      </c>
      <c r="B5" s="5" t="inlineStr">
        <is>
          <t>2</t>
        </is>
      </c>
      <c r="C5" s="5" t="inlineStr">
        <is>
          <t>MVP必須</t>
        </is>
      </c>
      <c r="D5" s="5" t="inlineStr">
        <is>
          <t>M3</t>
        </is>
      </c>
      <c r="E5" s="5" t="inlineStr">
        <is>
          <t>失敗した行がDBに残らない</t>
        </is>
      </c>
      <c r="F5" s="5" t="inlineStr">
        <is>
          <t>完了</t>
        </is>
      </c>
      <c r="G5" s="5" t="inlineStr">
        <is>
          <t>部分成功後、失敗した行のレコード数＝0件。失敗行CSVの行数＝失敗件数と一致</t>
        </is>
      </c>
      <c r="H5" s="5" t="inlineStr">
        <is>
          <t>動作確認＋DB確認</t>
        </is>
      </c>
      <c r="I5" s="5" t="inlineStr">
        <is>
          <t>OP-503</t>
        </is>
      </c>
      <c r="J5" s="5" t="inlineStr"/>
      <c r="K5" s="5" t="inlineStr"/>
      <c r="L5" s="5" t="inlineStr"/>
      <c r="M5" s="5" t="inlineStr"/>
      <c r="N5" s="5" t="inlineStr"/>
    </row>
    <row r="6">
      <c r="A6" s="5" t="inlineStr">
        <is>
          <t>AC-053</t>
        </is>
      </c>
      <c r="B6" s="5" t="inlineStr">
        <is>
          <t>2 / 4</t>
        </is>
      </c>
      <c r="C6" s="5" t="inlineStr">
        <is>
          <t>MVP必須</t>
        </is>
      </c>
      <c r="D6" s="5" t="inlineStr">
        <is>
          <t>M4</t>
        </is>
      </c>
      <c r="E6" s="5" t="inlineStr">
        <is>
          <t>昇格で勤務店舗が消えない</t>
        </is>
      </c>
      <c r="F6" s="5" t="inlineStr">
        <is>
          <t>従業員一覧</t>
        </is>
      </c>
      <c r="G6" s="5" t="inlineStr">
        <is>
          <t>元の2店舗の所属が維持されている／どちらも2店舗のまま。消えず、重複もしない</t>
        </is>
      </c>
      <c r="H6" s="5" t="inlineStr">
        <is>
          <t>動作確認（検証プラン）</t>
        </is>
      </c>
      <c r="I6" s="5" t="inlineStr">
        <is>
          <t>OP-607 / CA-061</t>
        </is>
      </c>
      <c r="J6" s="5" t="inlineStr"/>
      <c r="K6" s="5" t="inlineStr"/>
      <c r="L6" s="5" t="inlineStr"/>
      <c r="M6" s="5" t="inlineStr"/>
      <c r="N6" s="5" t="inlineStr"/>
    </row>
    <row r="7">
      <c r="A7" s="5" t="inlineStr">
        <is>
          <t>AC-060</t>
        </is>
      </c>
      <c r="B7" s="5" t="inlineStr">
        <is>
          <t>3</t>
        </is>
      </c>
      <c r="C7" s="5" t="inlineStr">
        <is>
          <t>MVP必須</t>
        </is>
      </c>
      <c r="D7" s="5" t="inlineStr">
        <is>
          <t>M6</t>
        </is>
      </c>
      <c r="E7" s="5" t="inlineStr">
        <is>
          <t>インポートしたデータを削除できる</t>
        </is>
      </c>
      <c r="F7" s="5" t="inlineStr">
        <is>
          <t>従業員一覧</t>
        </is>
      </c>
      <c r="G7" s="5" t="inlineStr">
        <is>
          <t>従業員・業態・店舗・雇用区分の4種とも削除できる（削除後の一覧に残る件数＝0件）</t>
        </is>
      </c>
      <c r="H7" s="5" t="inlineStr">
        <is>
          <t>動作確認（検証プラン）</t>
        </is>
      </c>
      <c r="I7" s="5" t="inlineStr">
        <is>
          <t>OP-615</t>
        </is>
      </c>
      <c r="J7" s="5" t="inlineStr"/>
      <c r="K7" s="5" t="inlineStr"/>
      <c r="L7" s="5" t="inlineStr"/>
      <c r="M7" s="5" t="inlineStr"/>
      <c r="N7" s="5" t="inlineStr"/>
    </row>
    <row r="8">
      <c r="A8" s="5" t="inlineStr">
        <is>
          <t>AC-061</t>
        </is>
      </c>
      <c r="B8" s="5" t="inlineStr">
        <is>
          <t>4</t>
        </is>
      </c>
      <c r="C8" s="5" t="inlineStr">
        <is>
          <t>MVP必須</t>
        </is>
      </c>
      <c r="D8" s="5" t="inlineStr">
        <is>
          <t>M5</t>
        </is>
      </c>
      <c r="E8" s="5" t="inlineStr">
        <is>
          <t>スキップで既存が変わらない</t>
        </is>
      </c>
      <c r="F8" s="5" t="inlineStr">
        <is>
          <t>プレビュー/完了</t>
        </is>
      </c>
      <c r="G8" s="5" t="inlineStr">
        <is>
          <t>スキップで再取り込み後、既存レコードの変更件数＝0件</t>
        </is>
      </c>
      <c r="H8" s="5" t="inlineStr">
        <is>
          <t>動作確認（検証プラン）</t>
        </is>
      </c>
      <c r="I8" s="5" t="inlineStr">
        <is>
          <t>OP-701</t>
        </is>
      </c>
      <c r="J8" s="5" t="inlineStr"/>
      <c r="K8" s="5" t="inlineStr"/>
      <c r="L8" s="5" t="inlineStr"/>
      <c r="M8" s="5" t="inlineStr"/>
      <c r="N8" s="5" t="inlineStr"/>
    </row>
    <row r="9">
      <c r="A9" s="5" t="inlineStr">
        <is>
          <t>AC-063</t>
        </is>
      </c>
      <c r="B9" s="5" t="inlineStr">
        <is>
          <t>4</t>
        </is>
      </c>
      <c r="C9" s="5" t="inlineStr">
        <is>
          <t>MVP必須</t>
        </is>
      </c>
      <c r="D9" s="5" t="inlineStr">
        <is>
          <t>M5</t>
        </is>
      </c>
      <c r="E9" s="5" t="inlineStr">
        <is>
          <t>空欄で既存の値が消えない</t>
        </is>
      </c>
      <c r="F9" s="5" t="inlineStr">
        <is>
          <t>従業員一覧</t>
        </is>
      </c>
      <c r="G9" s="5" t="inlineStr">
        <is>
          <t>空欄にした列の変更件数＝0件（電話番号が元の値のまま）</t>
        </is>
      </c>
      <c r="H9" s="5" t="inlineStr">
        <is>
          <t>動作確認（検証プラン）</t>
        </is>
      </c>
      <c r="I9" s="5" t="inlineStr">
        <is>
          <t>OP-703</t>
        </is>
      </c>
      <c r="J9" s="5" t="inlineStr"/>
      <c r="K9" s="5" t="inlineStr"/>
      <c r="L9" s="5" t="inlineStr"/>
      <c r="M9" s="5" t="inlineStr"/>
      <c r="N9" s="5" t="inlineStr"/>
    </row>
    <row r="10">
      <c r="A10" s="5" t="inlineStr">
        <is>
          <t>AC-055</t>
        </is>
      </c>
      <c r="B10" s="5" t="inlineStr">
        <is>
          <t>2 / 4</t>
        </is>
      </c>
      <c r="C10" s="5" t="inlineStr">
        <is>
          <t>リリース必須</t>
        </is>
      </c>
      <c r="D10" s="5" t="inlineStr">
        <is>
          <t>M4</t>
        </is>
      </c>
      <c r="E10" s="5" t="inlineStr">
        <is>
          <t>担当店舗のマージで重複しない</t>
        </is>
      </c>
      <c r="F10" s="5" t="inlineStr">
        <is>
          <t>従業員一覧</t>
        </is>
      </c>
      <c r="G10" s="5" t="inlineStr">
        <is>
          <t>既に渋谷店を持つ人を渋谷店で昇格 → 担当店舗＝2件のまま（重複＝0件）</t>
        </is>
      </c>
      <c r="H10" s="5" t="inlineStr">
        <is>
          <t>動作確認（検証プラン）</t>
        </is>
      </c>
      <c r="I10" s="5" t="inlineStr">
        <is>
          <t>CA-061</t>
        </is>
      </c>
      <c r="J10" s="5" t="inlineStr"/>
      <c r="K10" s="5" t="inlineStr"/>
      <c r="L10" s="5" t="inlineStr"/>
      <c r="M10" s="5" t="inlineStr"/>
      <c r="N10" s="5" t="inlineStr"/>
    </row>
    <row r="11">
      <c r="A11" s="5" t="inlineStr">
        <is>
          <t>AC-062</t>
        </is>
      </c>
      <c r="B11" s="5" t="inlineStr">
        <is>
          <t>4</t>
        </is>
      </c>
      <c r="C11" s="5" t="inlineStr">
        <is>
          <t>リリース必須</t>
        </is>
      </c>
      <c r="D11" s="5" t="inlineStr">
        <is>
          <t>M5</t>
        </is>
      </c>
      <c r="E11" s="5" t="inlineStr">
        <is>
          <t>上書き更新で全列が更新される</t>
        </is>
      </c>
      <c r="F11" s="5" t="inlineStr">
        <is>
          <t>従業員一覧</t>
        </is>
      </c>
      <c r="G11" s="5" t="inlineStr">
        <is>
          <t>テンプレートに書いた列がすべて反映される（従業員コードを除く）</t>
        </is>
      </c>
      <c r="H11" s="5" t="inlineStr">
        <is>
          <t>動作確認（検証プラン）</t>
        </is>
      </c>
      <c r="I11" s="5" t="inlineStr">
        <is>
          <t>OP-702</t>
        </is>
      </c>
      <c r="J11" s="5" t="inlineStr"/>
      <c r="K11" s="5" t="inlineStr"/>
      <c r="L11" s="5" t="inlineStr"/>
      <c r="M11" s="5" t="inlineStr"/>
      <c r="N11" s="5" t="inlineStr"/>
    </row>
    <row r="12">
      <c r="A12" s="5" t="inlineStr">
        <is>
          <t>AC-023</t>
        </is>
      </c>
      <c r="B12" s="5" t="inlineStr">
        <is>
          <t>2</t>
        </is>
      </c>
      <c r="C12" s="5" t="inlineStr">
        <is>
          <t>MVP必須</t>
        </is>
      </c>
      <c r="D12" s="5" t="inlineStr">
        <is>
          <t>M2</t>
        </is>
      </c>
      <c r="E12" s="5" t="inlineStr">
        <is>
          <t>エラー行を画面で編集させない</t>
        </is>
      </c>
      <c r="F12" s="5" t="inlineStr">
        <is>
          <t>プレビュー</t>
        </is>
      </c>
      <c r="G12" s="5" t="inlineStr">
        <is>
          <t>エラー行に編集ボタン＝0個。修正はCSVのみ</t>
        </is>
      </c>
      <c r="H12" s="5" t="inlineStr">
        <is>
          <t>動作確認（検証プラン）</t>
        </is>
      </c>
      <c r="I12" s="5" t="inlineStr">
        <is>
          <t>OP-303</t>
        </is>
      </c>
      <c r="J12" s="5" t="inlineStr"/>
      <c r="K12" s="5" t="inlineStr"/>
      <c r="L12" s="5" t="inlineStr"/>
      <c r="M12" s="5" t="inlineStr"/>
      <c r="N12" s="5" t="inlineStr"/>
    </row>
    <row r="13">
      <c r="A13" s="5" t="inlineStr">
        <is>
          <t>AC-024</t>
        </is>
      </c>
      <c r="B13" s="5" t="inlineStr">
        <is>
          <t>2</t>
        </is>
      </c>
      <c r="C13" s="5" t="inlineStr">
        <is>
          <t>MVP必須</t>
        </is>
      </c>
      <c r="D13" s="5" t="inlineStr">
        <is>
          <t>M2</t>
        </is>
      </c>
      <c r="E13" s="5" t="inlineStr">
        <is>
          <t>エラー行をCSVで取り出せる</t>
        </is>
      </c>
      <c r="F13" s="5" t="inlineStr">
        <is>
          <t>プレビュー / 完了</t>
        </is>
      </c>
      <c r="G13" s="5" t="inlineStr">
        <is>
          <t>元テンプレートと同じ列＋末尾に「エラー理由」列のファイルが落ちる／エラーが解消され、全件が取り込める状態になる／成功7・失敗1と表示される。取り込まなかった2行も表示される。失敗行CSVは1行</t>
        </is>
      </c>
      <c r="H13" s="5" t="inlineStr">
        <is>
          <t>動作確認（検証プラン）</t>
        </is>
      </c>
      <c r="I13" s="5" t="inlineStr">
        <is>
          <t>OP-306 / OP-307 / CA-053</t>
        </is>
      </c>
      <c r="J13" s="5" t="inlineStr"/>
      <c r="K13" s="5" t="inlineStr"/>
      <c r="L13" s="5" t="inlineStr"/>
      <c r="M13" s="5" t="inlineStr"/>
      <c r="N13" s="5" t="inlineStr"/>
    </row>
    <row r="14">
      <c r="A14" s="5" t="inlineStr">
        <is>
          <t>AC-043</t>
        </is>
      </c>
      <c r="B14" s="5" t="inlineStr">
        <is>
          <t>2</t>
        </is>
      </c>
      <c r="C14" s="5" t="inlineStr">
        <is>
          <t>MVP必須</t>
        </is>
      </c>
      <c r="D14" s="5" t="inlineStr">
        <is>
          <t>M3</t>
        </is>
      </c>
      <c r="E14" s="5" t="inlineStr">
        <is>
          <t>失敗行をCSVで回収できる</t>
        </is>
      </c>
      <c r="F14" s="5" t="inlineStr">
        <is>
          <t>完了</t>
        </is>
      </c>
      <c r="G14" s="5" t="inlineStr">
        <is>
          <t>失敗した行だけが落ちる。文字化けせず、失敗理由の列が付いている／成功7・失敗1と表示される。取り込まなかった2行も表示される。失敗行CSVは1行</t>
        </is>
      </c>
      <c r="H14" s="5" t="inlineStr">
        <is>
          <t>動作確認（検証プラン）</t>
        </is>
      </c>
      <c r="I14" s="5" t="inlineStr">
        <is>
          <t>OP-503 / CA-053</t>
        </is>
      </c>
      <c r="J14" s="5" t="inlineStr"/>
      <c r="K14" s="5" t="inlineStr"/>
      <c r="L14" s="5" t="inlineStr"/>
      <c r="M14" s="5" t="inlineStr"/>
      <c r="N14" s="5" t="inlineStr"/>
    </row>
    <row r="15">
      <c r="A15" s="5" t="inlineStr">
        <is>
          <t>AC-074</t>
        </is>
      </c>
      <c r="B15" s="5" t="inlineStr">
        <is>
          <t>2</t>
        </is>
      </c>
      <c r="C15" s="5" t="inlineStr">
        <is>
          <t>MVP必須</t>
        </is>
      </c>
      <c r="D15" s="5" t="inlineStr">
        <is>
          <t>M5</t>
        </is>
      </c>
      <c r="E15" s="5" t="inlineStr">
        <is>
          <t>中断したデータが正しく復元される</t>
        </is>
      </c>
      <c r="F15" s="5" t="inlineStr">
        <is>
          <t>アップロード画面</t>
        </is>
      </c>
      <c r="G15" s="5" t="inlineStr">
        <is>
          <t>中断前にアップロードした①〜③の件数と内容が一致する。④以降は未アップロードのまま</t>
        </is>
      </c>
      <c r="H15" s="5" t="inlineStr">
        <is>
          <t>動作確認（検証プラン）</t>
        </is>
      </c>
      <c r="I15" s="5" t="inlineStr">
        <is>
          <t>OP-709</t>
        </is>
      </c>
      <c r="J15" s="5" t="inlineStr"/>
      <c r="K15" s="5" t="inlineStr"/>
      <c r="L15" s="5" t="inlineStr"/>
      <c r="M15" s="5" t="inlineStr"/>
      <c r="N15" s="5" t="inlineStr"/>
    </row>
    <row r="16">
      <c r="A16" s="5" t="inlineStr">
        <is>
          <t>AC-075</t>
        </is>
      </c>
      <c r="B16" s="5" t="inlineStr">
        <is>
          <t>2</t>
        </is>
      </c>
      <c r="C16" s="5" t="inlineStr">
        <is>
          <t>MVP必須</t>
        </is>
      </c>
      <c r="D16" s="5" t="inlineStr">
        <is>
          <t>M5</t>
        </is>
      </c>
      <c r="E16" s="5" t="inlineStr">
        <is>
          <t>中断データが新規の取り込みに混ざらない</t>
        </is>
      </c>
      <c r="F16" s="5" t="inlineStr">
        <is>
          <t>アップロード画面</t>
        </is>
      </c>
      <c r="G16" s="5" t="inlineStr">
        <is>
          <t>再開せず開始したとき、自動で入る中断分＝0件</t>
        </is>
      </c>
      <c r="H16" s="5" t="inlineStr">
        <is>
          <t>動作確認（検証プラン）</t>
        </is>
      </c>
      <c r="I16" s="5" t="inlineStr">
        <is>
          <t>OP-710</t>
        </is>
      </c>
      <c r="J16" s="5" t="inlineStr"/>
      <c r="K16" s="5" t="inlineStr"/>
      <c r="L16" s="5" t="inlineStr"/>
      <c r="M16" s="5" t="inlineStr"/>
      <c r="N16" s="5" t="inlineStr"/>
    </row>
    <row r="17">
      <c r="A17" s="5" t="inlineStr">
        <is>
          <t>AC-014</t>
        </is>
      </c>
      <c r="B17" s="5" t="inlineStr">
        <is>
          <t>2 / 4</t>
        </is>
      </c>
      <c r="C17" s="5" t="inlineStr">
        <is>
          <t>リリース必須</t>
        </is>
      </c>
      <c r="D17" s="5" t="inlineStr">
        <is>
          <t>M1</t>
        </is>
      </c>
      <c r="E17" s="5" t="inlineStr">
        <is>
          <t>受付拒否から復帰できる</t>
        </is>
      </c>
      <c r="F17" s="5" t="inlineStr">
        <is>
          <t>アップロード</t>
        </is>
      </c>
      <c r="G17" s="5" t="inlineStr">
        <is>
          <t>拒否後に正しいファイルを上げ直すと受理され、確認画面に進める（再アップロード成功＝1回で可）</t>
        </is>
      </c>
      <c r="H17" s="5" t="inlineStr">
        <is>
          <t>動作確認（検証プラン）</t>
        </is>
      </c>
      <c r="I17" s="5" t="inlineStr">
        <is>
          <t>OP-219</t>
        </is>
      </c>
      <c r="J17" s="5" t="inlineStr"/>
      <c r="K17" s="5" t="inlineStr"/>
      <c r="L17" s="5" t="inlineStr"/>
      <c r="M17" s="5" t="inlineStr"/>
      <c r="N17" s="5" t="inlineStr"/>
    </row>
    <row r="18">
      <c r="A18" s="5" t="inlineStr">
        <is>
          <t>AC-046</t>
        </is>
      </c>
      <c r="B18" s="5" t="inlineStr">
        <is>
          <t>2</t>
        </is>
      </c>
      <c r="C18" s="5" t="inlineStr">
        <is>
          <t>リリース必須</t>
        </is>
      </c>
      <c r="D18" s="5" t="inlineStr">
        <is>
          <t>M3</t>
        </is>
      </c>
      <c r="E18" s="5" t="inlineStr">
        <is>
          <t>失敗行CSVがそのまま再アップできる形式</t>
        </is>
      </c>
      <c r="F18" s="5" t="inlineStr">
        <is>
          <t>完了</t>
        </is>
      </c>
      <c r="G18" s="5" t="inlineStr">
        <is>
          <t>失敗行CSVの列数＝元テンプレート＋1（理由列）。理由列を削除して再アップ → 受理される</t>
        </is>
      </c>
      <c r="H18" s="5" t="inlineStr">
        <is>
          <t>動作確認（検証プラン）</t>
        </is>
      </c>
      <c r="I18" s="5" t="inlineStr">
        <is>
          <t>OP-503</t>
        </is>
      </c>
      <c r="J18" s="5" t="inlineStr"/>
      <c r="K18" s="5" t="inlineStr"/>
      <c r="L18" s="5" t="inlineStr"/>
      <c r="M18" s="5" t="inlineStr"/>
      <c r="N18" s="5" t="inlineStr"/>
    </row>
    <row r="19">
      <c r="A19" s="5" t="inlineStr">
        <is>
          <t>AC-066</t>
        </is>
      </c>
      <c r="B19" s="5" t="inlineStr">
        <is>
          <t>2</t>
        </is>
      </c>
      <c r="C19" s="5" t="inlineStr">
        <is>
          <t>リリース必須</t>
        </is>
      </c>
      <c r="D19" s="5" t="inlineStr">
        <is>
          <t>M5</t>
        </is>
      </c>
      <c r="E19" s="5" t="inlineStr">
        <is>
          <t>作業を中断して後日再開できる</t>
        </is>
      </c>
      <c r="F19" s="5" t="inlineStr">
        <is>
          <t>アップロード</t>
        </is>
      </c>
      <c r="G19" s="5" t="inlineStr">
        <is>
          <t>中断地点が保存され、再開すると①〜③はアップロード済みとして復元される。1件も投入していない状態では一時保存を押せない</t>
        </is>
      </c>
      <c r="H19" s="5" t="inlineStr">
        <is>
          <t>動作確認（検証プラン）</t>
        </is>
      </c>
      <c r="I19" s="5" t="inlineStr">
        <is>
          <t>OP-707</t>
        </is>
      </c>
      <c r="J19" s="5" t="inlineStr"/>
      <c r="K19" s="5" t="inlineStr"/>
      <c r="L19" s="5" t="inlineStr"/>
      <c r="M19" s="5" t="inlineStr"/>
      <c r="N19" s="5" t="inlineStr"/>
    </row>
    <row r="20">
      <c r="A20" s="5" t="inlineStr">
        <is>
          <t>AC-025</t>
        </is>
      </c>
      <c r="B20" s="5" t="inlineStr">
        <is>
          <t>2</t>
        </is>
      </c>
      <c r="C20" s="5" t="inlineStr">
        <is>
          <t>MVP必須</t>
        </is>
      </c>
      <c r="D20" s="5" t="inlineStr">
        <is>
          <t>M2</t>
        </is>
      </c>
      <c r="E20" s="5" t="inlineStr">
        <is>
          <t>管理者の判定が自動で行われる</t>
        </is>
      </c>
      <c r="F20" s="5" t="inlineStr">
        <is>
          <t>プレビュー</t>
        </is>
      </c>
      <c r="G20" s="5" t="inlineStr">
        <is>
          <t>4パターン投入 → 新規登録1・権限付与1・差し替え1・スキップ1に振り分けられる（誤判定＝0件）</t>
        </is>
      </c>
      <c r="H20" s="5" t="inlineStr">
        <is>
          <t>動作確認（検証プラン）</t>
        </is>
      </c>
      <c r="I20" s="5" t="inlineStr">
        <is>
          <t>OP-308</t>
        </is>
      </c>
      <c r="J20" s="5" t="inlineStr"/>
      <c r="K20" s="5" t="inlineStr"/>
      <c r="L20" s="5" t="inlineStr"/>
      <c r="M20" s="5" t="inlineStr"/>
      <c r="N20" s="5" t="inlineStr"/>
    </row>
    <row r="21">
      <c r="A21" s="5" t="inlineStr">
        <is>
          <t>AC-065</t>
        </is>
      </c>
      <c r="B21" s="5" t="inlineStr">
        <is>
          <t>4</t>
        </is>
      </c>
      <c r="C21" s="5" t="inlineStr">
        <is>
          <t>MVP必須</t>
        </is>
      </c>
      <c r="D21" s="5" t="inlineStr">
        <is>
          <t>M5</t>
        </is>
      </c>
      <c r="E21" s="5" t="inlineStr">
        <is>
          <t>管理者に重複時の処理が適用されない</t>
        </is>
      </c>
      <c r="F21" s="5" t="inlineStr">
        <is>
          <t>プレビュー</t>
        </is>
      </c>
      <c r="G21" s="5" t="inlineStr">
        <is>
          <t>「重複時の処理」の設定にかかわらず5分岐で自動判定される</t>
        </is>
      </c>
      <c r="H21" s="5" t="inlineStr">
        <is>
          <t>動作確認（検証プラン）</t>
        </is>
      </c>
      <c r="I21" s="5" t="inlineStr">
        <is>
          <t>OP-704</t>
        </is>
      </c>
      <c r="J21" s="5" t="inlineStr"/>
      <c r="K21" s="5" t="inlineStr"/>
      <c r="L21" s="5" t="inlineStr"/>
      <c r="M21" s="5" t="inlineStr"/>
      <c r="N21" s="5" t="inlineStr"/>
    </row>
    <row r="22">
      <c r="A22" s="5" t="inlineStr">
        <is>
          <t>AC-054</t>
        </is>
      </c>
      <c r="B22" s="5" t="inlineStr">
        <is>
          <t>2 / 4</t>
        </is>
      </c>
      <c r="C22" s="5" t="inlineStr">
        <is>
          <t>リリース必須</t>
        </is>
      </c>
      <c r="D22" s="5" t="inlineStr">
        <is>
          <t>M4</t>
        </is>
      </c>
      <c r="E22" s="5" t="inlineStr">
        <is>
          <t>新規管理者の担当店舗が正しく入る</t>
        </is>
      </c>
      <c r="F22" s="5" t="inlineStr">
        <is>
          <t>管理者一覧</t>
        </is>
      </c>
      <c r="G22" s="5" t="inlineStr">
        <is>
          <t>既存の所属が無い人を「渋谷店,新宿店」で登録 → 担当店舗＝2件</t>
        </is>
      </c>
      <c r="H22" s="5" t="inlineStr">
        <is>
          <t>動作確認（検証プラン）</t>
        </is>
      </c>
      <c r="I22" s="5" t="inlineStr">
        <is>
          <t>CA-062</t>
        </is>
      </c>
      <c r="J22" s="5" t="inlineStr"/>
      <c r="K22" s="5" t="inlineStr"/>
      <c r="L22" s="5" t="inlineStr"/>
      <c r="M22" s="5" t="inlineStr"/>
      <c r="N22" s="5" t="inlineStr"/>
    </row>
    <row r="23">
      <c r="A23" s="5" t="inlineStr">
        <is>
          <t>AC-011</t>
        </is>
      </c>
      <c r="B23" s="5" t="inlineStr">
        <is>
          <t>2 / 4</t>
        </is>
      </c>
      <c r="C23" s="5" t="inlineStr">
        <is>
          <t>MVP必須</t>
        </is>
      </c>
      <c r="D23" s="5" t="inlineStr">
        <is>
          <t>M1</t>
        </is>
      </c>
      <c r="E23" s="5" t="inlineStr">
        <is>
          <t>上限を超えたファイルを受け付けない</t>
        </is>
      </c>
      <c r="F23" s="5" t="inlineStr">
        <is>
          <t>アップロード</t>
        </is>
      </c>
      <c r="G23" s="5" t="inlineStr">
        <is>
          <t>500行は受理。501行は拒否され、上限と実際の行数がメッセージに出る／200行は受理。201行は拒否される／5.0MBは受理。5.1MBは拒否される／どちらも拒否され、種別ごとの上限（500行／200行）と実際の行数を含むメッセージが出る。確認画面に進めない／「1ファイルあたり5MBまでです」と表示され、プレビューに進まない</t>
        </is>
      </c>
      <c r="H23" s="5" t="inlineStr">
        <is>
          <t>動作確認（検証プラン）</t>
        </is>
      </c>
      <c r="I23" s="5" t="inlineStr">
        <is>
          <t>CA-001 / CA-003 / CA-005 / OP-211 / OP-213</t>
        </is>
      </c>
      <c r="J23" s="5" t="inlineStr"/>
      <c r="K23" s="5" t="inlineStr"/>
      <c r="L23" s="5" t="inlineStr"/>
      <c r="M23" s="5" t="inlineStr"/>
      <c r="N23" s="5" t="inlineStr"/>
    </row>
    <row r="24">
      <c r="A24" s="5" t="inlineStr">
        <is>
          <t>AC-012</t>
        </is>
      </c>
      <c r="B24" s="5" t="inlineStr">
        <is>
          <t>2 / 4</t>
        </is>
      </c>
      <c r="C24" s="5" t="inlineStr">
        <is>
          <t>MVP必須</t>
        </is>
      </c>
      <c r="D24" s="5" t="inlineStr">
        <is>
          <t>M1</t>
        </is>
      </c>
      <c r="E24" s="5" t="inlineStr">
        <is>
          <t>壊れたファイルを受け付けない</t>
        </is>
      </c>
      <c r="F24" s="5" t="inlineStr">
        <is>
          <t>アップロード</t>
        </is>
      </c>
      <c r="G24" s="5" t="inlineStr">
        <is>
          <t>「文字コードがUTF-8ではない可能性があります」と表示される／「テンプレートの列が一致しません」と表示され、必要な列と見つかった列が併記される／「取り込めるデータがありません」と表示される</t>
        </is>
      </c>
      <c r="H24" s="5" t="inlineStr">
        <is>
          <t>動作確認（検証プラン）</t>
        </is>
      </c>
      <c r="I24" s="5" t="inlineStr">
        <is>
          <t>OP-214 / OP-215 / OP-216</t>
        </is>
      </c>
      <c r="J24" s="5" t="inlineStr"/>
      <c r="K24" s="5" t="inlineStr"/>
      <c r="L24" s="5" t="inlineStr"/>
      <c r="M24" s="5" t="inlineStr"/>
      <c r="N24" s="5" t="inlineStr"/>
    </row>
    <row r="25">
      <c r="A25" s="5" t="inlineStr">
        <is>
          <t>AC-013</t>
        </is>
      </c>
      <c r="B25" s="5" t="inlineStr">
        <is>
          <t>2 / 4</t>
        </is>
      </c>
      <c r="C25" s="5" t="inlineStr">
        <is>
          <t>リリース必須</t>
        </is>
      </c>
      <c r="D25" s="5" t="inlineStr">
        <is>
          <t>M1</t>
        </is>
      </c>
      <c r="E25" s="5" t="inlineStr">
        <is>
          <t>拒否されたファイルが一覧に残らない</t>
        </is>
      </c>
      <c r="F25" s="5" t="inlineStr">
        <is>
          <t>アップロード</t>
        </is>
      </c>
      <c r="G25" s="5" t="inlineStr">
        <is>
          <t>どちらも拒否され、種別ごとの上限（500行／200行）と実際の行数を含むメッセージが出る。確認画面に進めない</t>
        </is>
      </c>
      <c r="H25" s="5" t="inlineStr">
        <is>
          <t>動作確認（検証プラン）</t>
        </is>
      </c>
      <c r="I25" s="5" t="inlineStr">
        <is>
          <t>OP-211</t>
        </is>
      </c>
      <c r="J25" s="5" t="inlineStr"/>
      <c r="K25" s="5" t="inlineStr"/>
      <c r="L25" s="5" t="inlineStr"/>
      <c r="M25" s="5" t="inlineStr"/>
      <c r="N25" s="5" t="inlineStr"/>
    </row>
    <row r="26">
      <c r="A26" s="5" t="inlineStr">
        <is>
          <t>AC-033</t>
        </is>
      </c>
      <c r="B26" s="5" t="inlineStr">
        <is>
          <t>2</t>
        </is>
      </c>
      <c r="C26" s="5" t="inlineStr">
        <is>
          <t>リリース必須</t>
        </is>
      </c>
      <c r="D26" s="5" t="inlineStr">
        <is>
          <t>M3</t>
        </is>
      </c>
      <c r="E26" s="5" t="inlineStr">
        <is>
          <t>0件では実行できない</t>
        </is>
      </c>
      <c r="F26" s="5" t="inlineStr">
        <is>
          <t>プレビュー</t>
        </is>
      </c>
      <c r="G26" s="5" t="inlineStr">
        <is>
          <t>実行ボタンが押せない状態になり「取り込めるデータが1件もありません」と表示される／新規6・更新2・エラー2と表示され、実行ボタンは「8件をインポート」と出る</t>
        </is>
      </c>
      <c r="H26" s="5" t="inlineStr">
        <is>
          <t>動作確認（検証プラン）</t>
        </is>
      </c>
      <c r="I26" s="5" t="inlineStr">
        <is>
          <t>OP-404 / CA-051</t>
        </is>
      </c>
      <c r="J26" s="5" t="inlineStr"/>
      <c r="K26" s="5" t="inlineStr"/>
      <c r="L26" s="5" t="inlineStr"/>
      <c r="M26" s="5" t="inlineStr"/>
      <c r="N26" s="5" t="inlineStr"/>
    </row>
    <row r="27">
      <c r="A27" s="5" t="inlineStr">
        <is>
          <t>AC-021</t>
        </is>
      </c>
      <c r="B27" s="5" t="inlineStr">
        <is>
          <t>2</t>
        </is>
      </c>
      <c r="C27" s="5" t="inlineStr">
        <is>
          <t>MVP必須</t>
        </is>
      </c>
      <c r="D27" s="5" t="inlineStr">
        <is>
          <t>M2</t>
        </is>
      </c>
      <c r="E27" s="5" t="inlineStr">
        <is>
          <t>取り込み前に内容と判定を確認できる</t>
        </is>
      </c>
      <c r="F27" s="5" t="inlineStr">
        <is>
          <t>プレビュー</t>
        </is>
      </c>
      <c r="G27" s="5" t="inlineStr">
        <is>
          <t>新規6・更新2・エラー2と表示され、実行ボタンは「8件をインポート」と出る</t>
        </is>
      </c>
      <c r="H27" s="5" t="inlineStr">
        <is>
          <t>動作確認（検証プラン）</t>
        </is>
      </c>
      <c r="I27" s="5" t="inlineStr">
        <is>
          <t>CA-051</t>
        </is>
      </c>
      <c r="J27" s="5" t="inlineStr"/>
      <c r="K27" s="5" t="inlineStr"/>
      <c r="L27" s="5" t="inlineStr"/>
      <c r="M27" s="5" t="inlineStr"/>
      <c r="N27" s="5" t="inlineStr"/>
    </row>
    <row r="28">
      <c r="A28" s="5" t="inlineStr">
        <is>
          <t>AC-022</t>
        </is>
      </c>
      <c r="B28" s="5" t="inlineStr">
        <is>
          <t>2</t>
        </is>
      </c>
      <c r="C28" s="5" t="inlineStr">
        <is>
          <t>MVP必須</t>
        </is>
      </c>
      <c r="D28" s="5" t="inlineStr">
        <is>
          <t>M2</t>
        </is>
      </c>
      <c r="E28" s="5" t="inlineStr">
        <is>
          <t>エラー行が理由とともに分かる</t>
        </is>
      </c>
      <c r="F28" s="5" t="inlineStr">
        <is>
          <t>プレビュー</t>
        </is>
      </c>
      <c r="G28" s="5" t="inlineStr">
        <is>
          <t>エラー行すべてに理由が表示される（理由が空のエラー行＝0件）</t>
        </is>
      </c>
      <c r="H28" s="5" t="inlineStr">
        <is>
          <t>動作確認（検証プラン）</t>
        </is>
      </c>
      <c r="I28" s="5" t="inlineStr">
        <is>
          <t>OP-303 / OP-304</t>
        </is>
      </c>
      <c r="J28" s="5" t="inlineStr"/>
      <c r="K28" s="5" t="inlineStr"/>
      <c r="L28" s="5" t="inlineStr"/>
      <c r="M28" s="5" t="inlineStr"/>
      <c r="N28" s="5" t="inlineStr"/>
    </row>
    <row r="29">
      <c r="A29" s="5" t="inlineStr">
        <is>
          <t>AC-032</t>
        </is>
      </c>
      <c r="B29" s="5" t="inlineStr">
        <is>
          <t>2</t>
        </is>
      </c>
      <c r="C29" s="5" t="inlineStr">
        <is>
          <t>MVP必須</t>
        </is>
      </c>
      <c r="D29" s="5" t="inlineStr">
        <is>
          <t>M3</t>
        </is>
      </c>
      <c r="E29" s="5" t="inlineStr">
        <is>
          <t>二重に実行されない</t>
        </is>
      </c>
      <c r="F29" s="5" t="inlineStr">
        <is>
          <t>実行中</t>
        </is>
      </c>
      <c r="G29" s="5" t="inlineStr">
        <is>
          <t>ボタンを5回連打 → 登録された件数＝1回分（重複登録＝0件）</t>
        </is>
      </c>
      <c r="H29" s="5" t="inlineStr">
        <is>
          <t>動作確認（検証プラン）</t>
        </is>
      </c>
      <c r="I29" s="5" t="inlineStr">
        <is>
          <t>OP-401</t>
        </is>
      </c>
      <c r="J29" s="5" t="inlineStr"/>
      <c r="K29" s="5" t="inlineStr"/>
      <c r="L29" s="5" t="inlineStr"/>
      <c r="M29" s="5" t="inlineStr"/>
      <c r="N29" s="5" t="inlineStr"/>
    </row>
    <row r="30">
      <c r="A30" s="5" t="inlineStr">
        <is>
          <t>AC-042</t>
        </is>
      </c>
      <c r="B30" s="5" t="inlineStr">
        <is>
          <t>2</t>
        </is>
      </c>
      <c r="C30" s="5" t="inlineStr">
        <is>
          <t>MVP必須</t>
        </is>
      </c>
      <c r="D30" s="5" t="inlineStr">
        <is>
          <t>M3</t>
        </is>
      </c>
      <c r="E30" s="5" t="inlineStr">
        <is>
          <t>取り込まれなかった行が分かる</t>
        </is>
      </c>
      <c r="F30" s="5" t="inlineStr">
        <is>
          <t>完了</t>
        </is>
      </c>
      <c r="G30" s="5" t="inlineStr">
        <is>
          <t>完了画面に「取り込まなかった行（N件）」が表示され、除外理由が分かる／成功7・失敗1と表示される。取り込まなかった2行も表示される。失敗行CSVは1行</t>
        </is>
      </c>
      <c r="H30" s="5" t="inlineStr">
        <is>
          <t>動作確認（検証プラン）</t>
        </is>
      </c>
      <c r="I30" s="5" t="inlineStr">
        <is>
          <t>OP-502 / CA-053</t>
        </is>
      </c>
      <c r="J30" s="5" t="inlineStr"/>
      <c r="K30" s="5" t="inlineStr"/>
      <c r="L30" s="5" t="inlineStr"/>
      <c r="M30" s="5" t="inlineStr"/>
      <c r="N30" s="5" t="inlineStr"/>
    </row>
    <row r="31">
      <c r="A31" s="5" t="inlineStr">
        <is>
          <t>AC-031</t>
        </is>
      </c>
      <c r="B31" s="5" t="inlineStr">
        <is>
          <t>2</t>
        </is>
      </c>
      <c r="C31" s="5" t="inlineStr">
        <is>
          <t>リリース必須</t>
        </is>
      </c>
      <c r="D31" s="5" t="inlineStr">
        <is>
          <t>M3</t>
        </is>
      </c>
      <c r="E31" s="5" t="inlineStr">
        <is>
          <t>実行中であることが分かる</t>
        </is>
      </c>
      <c r="F31" s="5" t="inlineStr">
        <is>
          <t>実行中</t>
        </is>
      </c>
      <c r="G31" s="5" t="inlineStr">
        <is>
          <t>実行中に進捗が表示される（進捗が出ない実行＝0件）</t>
        </is>
      </c>
      <c r="H31" s="5" t="inlineStr">
        <is>
          <t>動作確認（検証プラン）</t>
        </is>
      </c>
      <c r="I31" s="5" t="inlineStr">
        <is>
          <t>OP-401</t>
        </is>
      </c>
      <c r="J31" s="5" t="inlineStr"/>
      <c r="K31" s="5" t="inlineStr"/>
      <c r="L31" s="5" t="inlineStr"/>
      <c r="M31" s="5" t="inlineStr"/>
      <c r="N31" s="5" t="inlineStr"/>
    </row>
    <row r="32">
      <c r="A32" s="5" t="inlineStr">
        <is>
          <t>AC-041</t>
        </is>
      </c>
      <c r="B32" s="5" t="inlineStr">
        <is>
          <t>2</t>
        </is>
      </c>
      <c r="C32" s="5" t="inlineStr">
        <is>
          <t>リリース必須</t>
        </is>
      </c>
      <c r="D32" s="5" t="inlineStr">
        <is>
          <t>M3</t>
        </is>
      </c>
      <c r="E32" s="5" t="inlineStr">
        <is>
          <t>結果が件数で分かる</t>
        </is>
      </c>
      <c r="F32" s="5" t="inlineStr">
        <is>
          <t>完了</t>
        </is>
      </c>
      <c r="G32" s="5" t="inlineStr">
        <is>
          <t>登録件数が表示され、次にやることが案内される。トップにインポート履歴が残る／成功7・失敗1と表示される。取り込まなかった2行も表示される。失敗行CSVは1行</t>
        </is>
      </c>
      <c r="H32" s="5" t="inlineStr">
        <is>
          <t>動作確認（検証プラン）</t>
        </is>
      </c>
      <c r="I32" s="5" t="inlineStr">
        <is>
          <t>OP-501 / CA-053</t>
        </is>
      </c>
      <c r="J32" s="5" t="inlineStr"/>
      <c r="K32" s="5" t="inlineStr"/>
      <c r="L32" s="5" t="inlineStr"/>
      <c r="M32" s="5" t="inlineStr"/>
      <c r="N32" s="5" t="inlineStr"/>
    </row>
    <row r="33">
      <c r="A33" s="5" t="inlineStr">
        <is>
          <t>AC-047</t>
        </is>
      </c>
      <c r="B33" s="5" t="inlineStr">
        <is>
          <t>2</t>
        </is>
      </c>
      <c r="C33" s="5" t="inlineStr">
        <is>
          <t>リリース必須</t>
        </is>
      </c>
      <c r="D33" s="5" t="inlineStr">
        <is>
          <t>M3</t>
        </is>
      </c>
      <c r="E33" s="5" t="inlineStr">
        <is>
          <t>招待メールを送信できる</t>
        </is>
      </c>
      <c r="F33" s="5" t="inlineStr">
        <is>
          <t>完了</t>
        </is>
      </c>
      <c r="G33" s="5" t="inlineStr">
        <is>
          <t>新規登録者にのみ送信（既存者・スキップ判定者への送信＝0件）</t>
        </is>
      </c>
      <c r="H33" s="5" t="inlineStr">
        <is>
          <t>動作確認（検証プラン）</t>
        </is>
      </c>
      <c r="I33" s="5" t="inlineStr">
        <is>
          <t>OP-505</t>
        </is>
      </c>
      <c r="J33" s="5" t="inlineStr"/>
      <c r="K33" s="5" t="inlineStr"/>
      <c r="L33" s="5" t="inlineStr"/>
      <c r="M33" s="5" t="inlineStr"/>
      <c r="N33" s="5" t="inlineStr"/>
    </row>
    <row r="34">
      <c r="A34" s="5" t="inlineStr">
        <is>
          <t>AC-026</t>
        </is>
      </c>
      <c r="B34" s="5" t="inlineStr">
        <is>
          <t>2</t>
        </is>
      </c>
      <c r="C34" s="5" t="inlineStr">
        <is>
          <t>改善</t>
        </is>
      </c>
      <c r="D34" s="5" t="inlineStr">
        <is>
          <t>M2</t>
        </is>
      </c>
      <c r="E34" s="5" t="inlineStr">
        <is>
          <t>①〜③と④⑤でタブの役割が異なる</t>
        </is>
      </c>
      <c r="F34" s="5" t="inlineStr">
        <is>
          <t>プレビュー</t>
        </is>
      </c>
      <c r="G34" s="5" t="inlineStr">
        <is>
          <t>①〜③＝種別タブ、④⑤＝判定タブ。タブ構成の取り違え＝0件</t>
        </is>
      </c>
      <c r="H34" s="5" t="inlineStr">
        <is>
          <t>動作確認（検証プラン）</t>
        </is>
      </c>
      <c r="I34" s="5" t="inlineStr">
        <is>
          <t>OP-301</t>
        </is>
      </c>
      <c r="J34" s="5" t="inlineStr"/>
      <c r="K34" s="5" t="inlineStr"/>
      <c r="L34" s="5" t="inlineStr"/>
      <c r="M34" s="5" t="inlineStr"/>
      <c r="N34" s="5" t="inlineStr"/>
    </row>
    <row r="35">
      <c r="A35" s="5" t="inlineStr">
        <is>
          <t>AC-034</t>
        </is>
      </c>
      <c r="B35" s="5" t="inlineStr">
        <is>
          <t>2</t>
        </is>
      </c>
      <c r="C35" s="5" t="inlineStr">
        <is>
          <t>改善</t>
        </is>
      </c>
      <c r="D35" s="5" t="inlineStr">
        <is>
          <t>M3</t>
        </is>
      </c>
      <c r="E35" s="5" t="inlineStr">
        <is>
          <t>実行中の離脱を警告する</t>
        </is>
      </c>
      <c r="F35" s="5" t="inlineStr">
        <is>
          <t>実行中</t>
        </is>
      </c>
      <c r="G35" s="5" t="inlineStr">
        <is>
          <t>実行中にタブを閉じようとすると警告が出る（警告なしで閉じられた回数＝0回）</t>
        </is>
      </c>
      <c r="H35" s="5" t="inlineStr">
        <is>
          <t>動作確認（検証プラン）</t>
        </is>
      </c>
      <c r="I35" s="5" t="inlineStr">
        <is>
          <t>OP-401</t>
        </is>
      </c>
      <c r="J35" s="5" t="inlineStr"/>
      <c r="K35" s="5" t="inlineStr"/>
      <c r="L35" s="5" t="inlineStr"/>
      <c r="M35" s="5" t="inlineStr"/>
      <c r="N35" s="5" t="inlineStr"/>
    </row>
    <row r="36">
      <c r="A36" s="5" t="inlineStr">
        <is>
          <t>AC-037</t>
        </is>
      </c>
      <c r="B36" s="5" t="inlineStr">
        <is>
          <t>2</t>
        </is>
      </c>
      <c r="C36" s="5" t="inlineStr">
        <is>
          <t>改善</t>
        </is>
      </c>
      <c r="D36" s="5" t="inlineStr">
        <is>
          <t>M2</t>
        </is>
      </c>
      <c r="E36" s="5" t="inlineStr">
        <is>
          <t>判定の凡例が邪魔をしない</t>
        </is>
      </c>
      <c r="F36" s="5" t="inlineStr">
        <is>
          <t>プレビュー</t>
        </is>
      </c>
      <c r="G36" s="5" t="inlineStr">
        <is>
          <t>「判定の見方」が既定で閉じている（開いた状態で表示される画面＝0件）</t>
        </is>
      </c>
      <c r="H36" s="5" t="inlineStr">
        <is>
          <t>動作確認（検証プラン）</t>
        </is>
      </c>
      <c r="I36" s="5" t="inlineStr">
        <is>
          <t>OP-308</t>
        </is>
      </c>
      <c r="J36" s="5" t="inlineStr"/>
      <c r="K36" s="5" t="inlineStr"/>
      <c r="L36" s="5" t="inlineStr"/>
      <c r="M36" s="5" t="inlineStr"/>
      <c r="N36" s="5" t="inlineStr"/>
    </row>
    <row r="37">
      <c r="A37" s="5" t="inlineStr">
        <is>
          <t>AC-045</t>
        </is>
      </c>
      <c r="B37" s="5" t="inlineStr">
        <is>
          <t>2</t>
        </is>
      </c>
      <c r="C37" s="5" t="inlineStr">
        <is>
          <t>改善</t>
        </is>
      </c>
      <c r="D37" s="5" t="inlineStr">
        <is>
          <t>M3</t>
        </is>
      </c>
      <c r="E37" s="5" t="inlineStr">
        <is>
          <t>次にやることが案内される</t>
        </is>
      </c>
      <c r="F37" s="5" t="inlineStr">
        <is>
          <t>完了</t>
        </is>
      </c>
      <c r="G37" s="5" t="inlineStr">
        <is>
          <t>完了画面に「次にやること」が表示される（案内が出ない完了画面＝0件）</t>
        </is>
      </c>
      <c r="H37" s="5" t="inlineStr">
        <is>
          <t>動作確認（検証プラン）</t>
        </is>
      </c>
      <c r="I37" s="5" t="inlineStr">
        <is>
          <t>OP-501</t>
        </is>
      </c>
      <c r="J37" s="5" t="inlineStr"/>
      <c r="K37" s="5" t="inlineStr"/>
      <c r="L37" s="5" t="inlineStr"/>
      <c r="M37" s="5" t="inlineStr"/>
      <c r="N37" s="5" t="inlineStr"/>
    </row>
    <row r="38">
      <c r="A38" s="5" t="inlineStr">
        <is>
          <t>AC-048</t>
        </is>
      </c>
      <c r="B38" s="5" t="inlineStr">
        <is>
          <t>2</t>
        </is>
      </c>
      <c r="C38" s="5" t="inlineStr">
        <is>
          <t>改善</t>
        </is>
      </c>
      <c r="D38" s="5" t="inlineStr">
        <is>
          <t>M3</t>
        </is>
      </c>
      <c r="E38" s="5" t="inlineStr">
        <is>
          <t>インポート履歴が残る</t>
        </is>
      </c>
      <c r="F38" s="5" t="inlineStr">
        <is>
          <t>完了</t>
        </is>
      </c>
      <c r="G38" s="5" t="inlineStr">
        <is>
          <t>取り込み完了後、トップに履歴が1件増える</t>
        </is>
      </c>
      <c r="H38" s="5" t="inlineStr">
        <is>
          <t>動作確認（検証プラン）</t>
        </is>
      </c>
      <c r="I38" s="5" t="inlineStr">
        <is>
          <t>OP-501</t>
        </is>
      </c>
      <c r="J38" s="5" t="inlineStr"/>
      <c r="K38" s="5" t="inlineStr"/>
      <c r="L38" s="5" t="inlineStr"/>
      <c r="M38" s="5" t="inlineStr"/>
      <c r="N38" s="5" t="inlineStr"/>
    </row>
    <row r="39">
      <c r="A39" s="5" t="inlineStr">
        <is>
          <t>AC-016</t>
        </is>
      </c>
      <c r="B39" s="5" t="inlineStr">
        <is>
          <t>2</t>
        </is>
      </c>
      <c r="C39" s="5" t="inlineStr">
        <is>
          <t>MVP必須</t>
        </is>
      </c>
      <c r="D39" s="5" t="inlineStr">
        <is>
          <t>M1</t>
        </is>
      </c>
      <c r="E39" s="5" t="inlineStr">
        <is>
          <t>取り込み順序が守られている</t>
        </is>
      </c>
      <c r="F39" s="5" t="inlineStr">
        <is>
          <t>プレビュー</t>
        </is>
      </c>
      <c r="G39" s="5" t="inlineStr">
        <is>
          <t>プレビューに3件が「新規」と表示される／②の所属業態が引き当てられずエラーになる</t>
        </is>
      </c>
      <c r="H39" s="5" t="inlineStr">
        <is>
          <t>動作確認（検証プラン）</t>
        </is>
      </c>
      <c r="I39" s="5" t="inlineStr">
        <is>
          <t>OP-201 / OP-202</t>
        </is>
      </c>
      <c r="J39" s="5" t="inlineStr"/>
      <c r="K39" s="5" t="inlineStr"/>
      <c r="L39" s="5" t="inlineStr"/>
      <c r="M39" s="5" t="inlineStr"/>
      <c r="N39" s="5" t="inlineStr"/>
    </row>
    <row r="40">
      <c r="A40" s="5" t="inlineStr">
        <is>
          <t>AC-051</t>
        </is>
      </c>
      <c r="B40" s="5" t="inlineStr">
        <is>
          <t>2</t>
        </is>
      </c>
      <c r="C40" s="5" t="inlineStr">
        <is>
          <t>MVP必須</t>
        </is>
      </c>
      <c r="D40" s="5" t="inlineStr">
        <is>
          <t>M4</t>
        </is>
      </c>
      <c r="E40" s="5" t="inlineStr">
        <is>
          <t>テンプレートの全列が反映される</t>
        </is>
      </c>
      <c r="F40" s="5" t="inlineStr">
        <is>
          <t>業態設定 / 従業員一覧 / 管理者一覧</t>
        </is>
      </c>
      <c r="G40" s="5" t="inlineStr">
        <is>
          <t>3種類とも件数と内容が一致する。②は5列、③は6列すべてが入っている／氏名・電話番号・メール・雇用区分・店舗・交通費が反映されている／EMP- で始まるコードが自動で採番されている／管理者として登録され、担当店舗が設定されている</t>
        </is>
      </c>
      <c r="H40" s="5" t="inlineStr">
        <is>
          <t>動作確認＋DB確認</t>
        </is>
      </c>
      <c r="I40" s="5" t="inlineStr">
        <is>
          <t>OP-601 / OP-604 / OP-605 / OP-606</t>
        </is>
      </c>
      <c r="J40" s="5" t="inlineStr"/>
      <c r="K40" s="5" t="inlineStr"/>
      <c r="L40" s="5" t="inlineStr"/>
      <c r="M40" s="5" t="inlineStr"/>
      <c r="N40" s="5" t="inlineStr"/>
    </row>
    <row r="41">
      <c r="A41" s="5" t="inlineStr">
        <is>
          <t>AC-027</t>
        </is>
      </c>
      <c r="B41" s="5" t="inlineStr">
        <is>
          <t>2</t>
        </is>
      </c>
      <c r="C41" s="5" t="inlineStr">
        <is>
          <t>リリース必須</t>
        </is>
      </c>
      <c r="D41" s="5" t="inlineStr">
        <is>
          <t>M2</t>
        </is>
      </c>
      <c r="E41" s="5" t="inlineStr">
        <is>
          <t>設定マスタの重複が自動で除外される</t>
        </is>
      </c>
      <c r="F41" s="5" t="inlineStr">
        <is>
          <t>プレビュー / 業態設定</t>
        </is>
      </c>
      <c r="G41" s="5" t="inlineStr">
        <is>
          <t>重複が自動で除外され、1件として登録される／3件として登録される</t>
        </is>
      </c>
      <c r="H41" s="5" t="inlineStr">
        <is>
          <t>動作確認（検証プラン）</t>
        </is>
      </c>
      <c r="I41" s="5" t="inlineStr">
        <is>
          <t>OP-108 / CA-056</t>
        </is>
      </c>
      <c r="J41" s="5" t="inlineStr"/>
      <c r="K41" s="5" t="inlineStr"/>
      <c r="L41" s="5" t="inlineStr"/>
      <c r="M41" s="5" t="inlineStr"/>
      <c r="N41" s="5" t="inlineStr"/>
    </row>
    <row r="42">
      <c r="A42" s="5" t="inlineStr">
        <is>
          <t>AC-028</t>
        </is>
      </c>
      <c r="B42" s="5" t="inlineStr">
        <is>
          <t>2</t>
        </is>
      </c>
      <c r="C42" s="5" t="inlineStr">
        <is>
          <t>リリース必須</t>
        </is>
      </c>
      <c r="D42" s="5" t="inlineStr">
        <is>
          <t>M2</t>
        </is>
      </c>
      <c r="E42" s="5" t="inlineStr">
        <is>
          <t>名称の突合が一意でない場合はエラー</t>
        </is>
      </c>
      <c r="F42" s="5" t="inlineStr">
        <is>
          <t>プレビュー</t>
        </is>
      </c>
      <c r="G42" s="5" t="inlineStr">
        <is>
          <t>DB側に同名の業態が2件ある状態で取り込む → その行＝エラー（誤って紐づく件数＝0件）</t>
        </is>
      </c>
      <c r="H42" s="5" t="inlineStr">
        <is>
          <t>動作確認（検証プラン）</t>
        </is>
      </c>
      <c r="I42" s="5" t="inlineStr">
        <is>
          <t>OP-312</t>
        </is>
      </c>
      <c r="J42" s="5" t="inlineStr"/>
      <c r="K42" s="5" t="inlineStr"/>
      <c r="L42" s="5" t="inlineStr"/>
      <c r="M42" s="5" t="inlineStr"/>
      <c r="N42" s="5" t="inlineStr"/>
    </row>
    <row r="43">
      <c r="A43" s="5" t="inlineStr">
        <is>
          <t>AC-064</t>
        </is>
      </c>
      <c r="B43" s="5" t="inlineStr">
        <is>
          <t>4</t>
        </is>
      </c>
      <c r="C43" s="5" t="inlineStr">
        <is>
          <t>リリース必須</t>
        </is>
      </c>
      <c r="D43" s="5" t="inlineStr">
        <is>
          <t>M5</t>
        </is>
      </c>
      <c r="E43" s="5" t="inlineStr">
        <is>
          <t>雇用区分はコード優先で突合される</t>
        </is>
      </c>
      <c r="F43" s="5" t="inlineStr">
        <is>
          <t>雇用区分設定</t>
        </is>
      </c>
      <c r="G43" s="5" t="inlineStr">
        <is>
          <t>コード指定時はコードで突合（新規作成＝0件）。空欄時は名称で突合（新規作成＝0件）</t>
        </is>
      </c>
      <c r="H43" s="5" t="inlineStr">
        <is>
          <t>動作確認（検証プラン）</t>
        </is>
      </c>
      <c r="I43" s="5" t="inlineStr">
        <is>
          <t>OP-705</t>
        </is>
      </c>
      <c r="J43" s="5" t="inlineStr"/>
      <c r="K43" s="5" t="inlineStr"/>
      <c r="L43" s="5" t="inlineStr"/>
      <c r="M43" s="5" t="inlineStr"/>
      <c r="N43" s="5" t="inlineStr"/>
    </row>
    <row r="44">
      <c r="A44" s="5" t="inlineStr">
        <is>
          <t>AC-036</t>
        </is>
      </c>
      <c r="B44" s="5" t="inlineStr">
        <is>
          <t>2</t>
        </is>
      </c>
      <c r="C44" s="5" t="inlineStr">
        <is>
          <t>改善</t>
        </is>
      </c>
      <c r="D44" s="5" t="inlineStr">
        <is>
          <t>M2</t>
        </is>
      </c>
      <c r="E44" s="5" t="inlineStr">
        <is>
          <t>名称突合で前後空白が無視される</t>
        </is>
      </c>
      <c r="F44" s="5" t="inlineStr">
        <is>
          <t>プレビュー</t>
        </is>
      </c>
      <c r="G44" s="5" t="inlineStr">
        <is>
          <t>「 飲食店 」（前後空白）で取り込む → 引き当て成功。エラー＝0件</t>
        </is>
      </c>
      <c r="H44" s="5" t="inlineStr">
        <is>
          <t>動作確認（検証プラン）</t>
        </is>
      </c>
      <c r="I44" s="5" t="inlineStr">
        <is>
          <t>OP-312</t>
        </is>
      </c>
      <c r="J44" s="5" t="inlineStr"/>
      <c r="K44" s="5" t="inlineStr"/>
      <c r="L44" s="5" t="inlineStr"/>
      <c r="M44" s="5" t="inlineStr"/>
      <c r="N44" s="5" t="inlineStr"/>
    </row>
    <row r="45">
      <c r="A45" s="5" t="inlineStr">
        <is>
          <t>AC-015</t>
        </is>
      </c>
      <c r="B45" s="5" t="inlineStr">
        <is>
          <t>2</t>
        </is>
      </c>
      <c r="C45" s="5" t="inlineStr">
        <is>
          <t>MVP必須</t>
        </is>
      </c>
      <c r="D45" s="5" t="inlineStr">
        <is>
          <t>M2</t>
        </is>
      </c>
      <c r="E45" s="5" t="inlineStr">
        <is>
          <t>給与体系は時給・月給のみ</t>
        </is>
      </c>
      <c r="F45" s="5" t="inlineStr">
        <is>
          <t>プレビュー</t>
        </is>
      </c>
      <c r="G45" s="5" t="inlineStr">
        <is>
          <t>給与体系「日給」の行＝エラー。取り込まれた件数＝0件</t>
        </is>
      </c>
      <c r="H45" s="5" t="inlineStr">
        <is>
          <t>動作確認（検証プラン）</t>
        </is>
      </c>
      <c r="I45" s="5" t="inlineStr">
        <is>
          <t>OP-218</t>
        </is>
      </c>
      <c r="J45" s="5" t="inlineStr"/>
      <c r="K45" s="5" t="inlineStr"/>
      <c r="L45" s="5" t="inlineStr"/>
      <c r="M45" s="5" t="inlineStr"/>
      <c r="N45" s="5" t="inlineStr"/>
    </row>
    <row r="46">
      <c r="A46" s="5" t="inlineStr">
        <is>
          <t>AC-052</t>
        </is>
      </c>
      <c r="B46" s="5" t="inlineStr">
        <is>
          <t>2</t>
        </is>
      </c>
      <c r="C46" s="5" t="inlineStr">
        <is>
          <t>MVP必須</t>
        </is>
      </c>
      <c r="D46" s="5" t="inlineStr">
        <is>
          <t>M4</t>
        </is>
      </c>
      <c r="E46" s="5" t="inlineStr">
        <is>
          <t>コードが自動採番される</t>
        </is>
      </c>
      <c r="F46" s="5" t="inlineStr">
        <is>
          <t>従業員一覧</t>
        </is>
      </c>
      <c r="G46" s="5" t="inlineStr">
        <is>
          <t>コード空欄5件 → 5件すべてに EMP- で始まるコードが付与され、重複＝0件</t>
        </is>
      </c>
      <c r="H46" s="5" t="inlineStr">
        <is>
          <t>動作確認＋DB確認</t>
        </is>
      </c>
      <c r="I46" s="5" t="inlineStr">
        <is>
          <t>OP-605 / CA-071</t>
        </is>
      </c>
      <c r="J46" s="5" t="inlineStr"/>
      <c r="K46" s="5" t="inlineStr"/>
      <c r="L46" s="5" t="inlineStr"/>
      <c r="M46" s="5" t="inlineStr"/>
      <c r="N46" s="5" t="inlineStr"/>
    </row>
    <row r="47">
      <c r="A47" s="5" t="inlineStr">
        <is>
          <t>AC-091</t>
        </is>
      </c>
      <c r="B47" s="5" t="inlineStr">
        <is>
          <t>2 / 4</t>
        </is>
      </c>
      <c r="C47" s="5" t="inlineStr">
        <is>
          <t>MVP必須</t>
        </is>
      </c>
      <c r="D47" s="5" t="inlineStr">
        <is>
          <t>M2</t>
        </is>
      </c>
      <c r="E47" s="5" t="inlineStr">
        <is>
          <t>金額の範囲が守られる</t>
        </is>
      </c>
      <c r="F47" s="5" t="inlineStr">
        <is>
          <t>プレビュー</t>
        </is>
      </c>
      <c r="G47" s="5" t="inlineStr">
        <is>
          <t>0はエラー（1以上）。99999999.99は登録できる。100000000はエラー</t>
        </is>
      </c>
      <c r="H47" s="5" t="inlineStr">
        <is>
          <t>動作確認（検証プラン）</t>
        </is>
      </c>
      <c r="I47" s="5" t="inlineStr">
        <is>
          <t>CA-016</t>
        </is>
      </c>
      <c r="J47" s="5" t="inlineStr"/>
      <c r="K47" s="5" t="inlineStr"/>
      <c r="L47" s="5" t="inlineStr"/>
      <c r="M47" s="5" t="inlineStr"/>
      <c r="N47" s="5" t="inlineStr"/>
    </row>
    <row r="48">
      <c r="A48" s="5" t="inlineStr">
        <is>
          <t>AC-093</t>
        </is>
      </c>
      <c r="B48" s="5" t="inlineStr">
        <is>
          <t>2 / 4</t>
        </is>
      </c>
      <c r="C48" s="5" t="inlineStr">
        <is>
          <t>MVP必須</t>
        </is>
      </c>
      <c r="D48" s="5" t="inlineStr">
        <is>
          <t>M2</t>
        </is>
      </c>
      <c r="E48" s="5" t="inlineStr">
        <is>
          <t>文字数の上限が守られる</t>
        </is>
      </c>
      <c r="F48" s="5" t="inlineStr">
        <is>
          <t>従業員一覧 / プレビュー</t>
        </is>
      </c>
      <c r="G48" s="5" t="inlineStr">
        <is>
          <t>100文字は登録できる。101文字はエラー／いずれもエラーになり、列名と上限がメッセージに出る</t>
        </is>
      </c>
      <c r="H48" s="5" t="inlineStr">
        <is>
          <t>動作確認（検証プラン）</t>
        </is>
      </c>
      <c r="I48" s="5" t="inlineStr">
        <is>
          <t>CA-031 / CA-033</t>
        </is>
      </c>
      <c r="J48" s="5" t="inlineStr"/>
      <c r="K48" s="5" t="inlineStr"/>
      <c r="L48" s="5" t="inlineStr"/>
      <c r="M48" s="5" t="inlineStr"/>
      <c r="N48" s="5" t="inlineStr"/>
    </row>
    <row r="49">
      <c r="A49" s="5" t="inlineStr">
        <is>
          <t>AC-094</t>
        </is>
      </c>
      <c r="B49" s="5" t="inlineStr">
        <is>
          <t>2 / 4</t>
        </is>
      </c>
      <c r="C49" s="5" t="inlineStr">
        <is>
          <t>MVP必須</t>
        </is>
      </c>
      <c r="D49" s="5" t="inlineStr">
        <is>
          <t>M2</t>
        </is>
      </c>
      <c r="E49" s="5" t="inlineStr">
        <is>
          <t>形式チェックが働く</t>
        </is>
      </c>
      <c r="F49" s="5" t="inlineStr">
        <is>
          <t>プレビュー / 店舗設定 / 従業員一覧</t>
        </is>
      </c>
      <c r="G49" s="5" t="inlineStr">
        <is>
          <t>エラー行として赤く表示され、「メールアドレスの形式が正しくありません」と理由が出る。取り込まれない／前2つは登録できる。3つ目はエラー／全角ハイフンは半角に正規化される。英字混じりはエラー</t>
        </is>
      </c>
      <c r="H49" s="5" t="inlineStr">
        <is>
          <t>動作確認（検証プラン）</t>
        </is>
      </c>
      <c r="I49" s="5" t="inlineStr">
        <is>
          <t>CA-036 / CA-041 / CA-044</t>
        </is>
      </c>
      <c r="J49" s="5" t="inlineStr"/>
      <c r="K49" s="5" t="inlineStr"/>
      <c r="L49" s="5" t="inlineStr"/>
      <c r="M49" s="5" t="inlineStr"/>
      <c r="N49" s="5" t="inlineStr"/>
    </row>
    <row r="50">
      <c r="A50" s="5" t="inlineStr">
        <is>
          <t>AC-029</t>
        </is>
      </c>
      <c r="B50" s="5" t="inlineStr">
        <is>
          <t>2 / 3</t>
        </is>
      </c>
      <c r="C50" s="5" t="inlineStr">
        <is>
          <t>リリース必須</t>
        </is>
      </c>
      <c r="D50" s="5" t="inlineStr">
        <is>
          <t>M2</t>
        </is>
      </c>
      <c r="E50" s="5" t="inlineStr">
        <is>
          <t>④の店舗名は単一である</t>
        </is>
      </c>
      <c r="F50" s="5" t="inlineStr">
        <is>
          <t>プレビュー / 従業員一覧</t>
        </is>
      </c>
      <c r="G50" s="5" t="inlineStr">
        <is>
          <t>複数指定は受け付けられない（1店舗として扱われるかエラー）／2店舗の所属になる</t>
        </is>
      </c>
      <c r="H50" s="5" t="inlineStr">
        <is>
          <t>動作確認（検証プラン）</t>
        </is>
      </c>
      <c r="I50" s="5" t="inlineStr">
        <is>
          <t>OP-311 / OP-608</t>
        </is>
      </c>
      <c r="J50" s="5" t="inlineStr"/>
      <c r="K50" s="5" t="inlineStr"/>
      <c r="L50" s="5" t="inlineStr"/>
      <c r="M50" s="5" t="inlineStr"/>
      <c r="N50" s="5" t="inlineStr"/>
    </row>
    <row r="51">
      <c r="A51" s="5" t="inlineStr">
        <is>
          <t>AC-030</t>
        </is>
      </c>
      <c r="B51" s="5" t="inlineStr">
        <is>
          <t>2 / 4</t>
        </is>
      </c>
      <c r="C51" s="5" t="inlineStr">
        <is>
          <t>リリース必須</t>
        </is>
      </c>
      <c r="D51" s="5" t="inlineStr">
        <is>
          <t>M2</t>
        </is>
      </c>
      <c r="E51" s="5" t="inlineStr">
        <is>
          <t>金額が正しく解釈される</t>
        </is>
      </c>
      <c r="F51" s="5" t="inlineStr">
        <is>
          <t>雇用区分設定 / プレビュー</t>
        </is>
      </c>
      <c r="G51" s="5" t="inlineStr">
        <is>
          <t>どちらも 200000 として登録される／エラー。「金額は半角数字で入力してください」</t>
        </is>
      </c>
      <c r="H51" s="5" t="inlineStr">
        <is>
          <t>動作確認（検証プラン）</t>
        </is>
      </c>
      <c r="I51" s="5" t="inlineStr">
        <is>
          <t>CA-014 / CA-015</t>
        </is>
      </c>
      <c r="J51" s="5" t="inlineStr"/>
      <c r="K51" s="5" t="inlineStr"/>
      <c r="L51" s="5" t="inlineStr"/>
      <c r="M51" s="5" t="inlineStr"/>
      <c r="N51" s="5" t="inlineStr"/>
    </row>
    <row r="52">
      <c r="A52" s="5" t="inlineStr">
        <is>
          <t>AC-092</t>
        </is>
      </c>
      <c r="B52" s="5" t="inlineStr">
        <is>
          <t>2 / 4</t>
        </is>
      </c>
      <c r="C52" s="5" t="inlineStr">
        <is>
          <t>リリース必須</t>
        </is>
      </c>
      <c r="D52" s="5" t="inlineStr">
        <is>
          <t>M2</t>
        </is>
      </c>
      <c r="E52" s="5" t="inlineStr">
        <is>
          <t>時間の範囲が守られる</t>
        </is>
      </c>
      <c r="F52" s="5" t="inlineStr">
        <is>
          <t>プレビュー / 雇用区分設定</t>
        </is>
      </c>
      <c r="G52" s="5" t="inlineStr">
        <is>
          <t>0と1000はエラー。160は登録できる／0と999は登録できる。1000はエラー。「20時間」は単位付きのためエラー</t>
        </is>
      </c>
      <c r="H52" s="5" t="inlineStr">
        <is>
          <t>動作確認（検証プラン）</t>
        </is>
      </c>
      <c r="I52" s="5" t="inlineStr">
        <is>
          <t>CA-021 / CA-024</t>
        </is>
      </c>
      <c r="J52" s="5" t="inlineStr"/>
      <c r="K52" s="5" t="inlineStr"/>
      <c r="L52" s="5" t="inlineStr"/>
      <c r="M52" s="5" t="inlineStr"/>
      <c r="N52" s="5" t="inlineStr"/>
    </row>
    <row r="53">
      <c r="A53" s="5" t="inlineStr">
        <is>
          <t>AC-056</t>
        </is>
      </c>
      <c r="B53" s="5" t="inlineStr">
        <is>
          <t>2</t>
        </is>
      </c>
      <c r="C53" s="5" t="inlineStr">
        <is>
          <t>改善</t>
        </is>
      </c>
      <c r="D53" s="5" t="inlineStr">
        <is>
          <t>M4</t>
        </is>
      </c>
      <c r="E53" s="5" t="inlineStr">
        <is>
          <t>従業員コードを指定できる</t>
        </is>
      </c>
      <c r="F53" s="5" t="inlineStr">
        <is>
          <t>従業員一覧</t>
        </is>
      </c>
      <c r="G53" s="5" t="inlineStr">
        <is>
          <t>コード指定した行は指定値のまま登録（書き換わった件数＝0件）</t>
        </is>
      </c>
      <c r="H53" s="5" t="inlineStr">
        <is>
          <t>動作確認（検証プラン）</t>
        </is>
      </c>
      <c r="I53" s="5" t="inlineStr">
        <is>
          <t>CA-071</t>
        </is>
      </c>
      <c r="J53" s="5" t="inlineStr"/>
      <c r="K53" s="5" t="inlineStr"/>
      <c r="L53" s="5" t="inlineStr"/>
      <c r="M53" s="5" t="inlineStr"/>
      <c r="N53" s="5" t="inlineStr"/>
    </row>
    <row r="54">
      <c r="A54" s="5" t="inlineStr">
        <is>
          <t>AC-072</t>
        </is>
      </c>
      <c r="B54" s="5" t="inlineStr">
        <is>
          <t>2 / 4</t>
        </is>
      </c>
      <c r="C54" s="5" t="inlineStr">
        <is>
          <t>MVP必須</t>
        </is>
      </c>
      <c r="D54" s="5" t="inlineStr">
        <is>
          <t>M6</t>
        </is>
      </c>
      <c r="E54" s="5" t="inlineStr">
        <is>
          <t>管理者は従業員と管理者のみ</t>
        </is>
      </c>
      <c r="F54" s="5" t="inlineStr">
        <is>
          <t>インポート</t>
        </is>
      </c>
      <c r="G54" s="5" t="inlineStr">
        <is>
          <t>オーナーは5種類すべて。店長は①②③が表示されず、④⑤のみ</t>
        </is>
      </c>
      <c r="H54" s="5" t="inlineStr">
        <is>
          <t>動作確認（検証プラン）</t>
        </is>
      </c>
      <c r="I54" s="5" t="inlineStr">
        <is>
          <t>OP-801</t>
        </is>
      </c>
      <c r="J54" s="5" t="inlineStr"/>
      <c r="K54" s="5" t="inlineStr"/>
      <c r="L54" s="5" t="inlineStr"/>
      <c r="M54" s="5" t="inlineStr"/>
      <c r="N54" s="5" t="inlineStr"/>
    </row>
    <row r="55">
      <c r="A55" s="5" t="inlineStr">
        <is>
          <t>AC-073</t>
        </is>
      </c>
      <c r="B55" s="5" t="inlineStr">
        <is>
          <t>2 / 4</t>
        </is>
      </c>
      <c r="C55" s="5" t="inlineStr">
        <is>
          <t>MVP必須</t>
        </is>
      </c>
      <c r="D55" s="5" t="inlineStr">
        <is>
          <t>M6</t>
        </is>
      </c>
      <c r="E55" s="5" t="inlineStr">
        <is>
          <t>管理者は担当店舗の範囲に限られる</t>
        </is>
      </c>
      <c r="F55" s="5" t="inlineStr">
        <is>
          <t>プレビュー</t>
        </is>
      </c>
      <c r="G55" s="5" t="inlineStr">
        <is>
          <t>担当外の店舗を含む行＝エラー。取り込まれた件数＝0件</t>
        </is>
      </c>
      <c r="H55" s="5" t="inlineStr">
        <is>
          <t>動作確認（検証プラン）</t>
        </is>
      </c>
      <c r="I55" s="5" t="inlineStr">
        <is>
          <t>OP-803</t>
        </is>
      </c>
      <c r="J55" s="5" t="inlineStr"/>
      <c r="K55" s="5" t="inlineStr"/>
      <c r="L55" s="5" t="inlineStr"/>
      <c r="M55" s="5" t="inlineStr"/>
      <c r="N55" s="5" t="inlineStr"/>
    </row>
    <row r="56">
      <c r="A56" s="5" t="inlineStr">
        <is>
          <t>AC-071</t>
        </is>
      </c>
      <c r="B56" s="5" t="inlineStr">
        <is>
          <t>2 / 4</t>
        </is>
      </c>
      <c r="C56" s="5" t="inlineStr">
        <is>
          <t>リリース必須</t>
        </is>
      </c>
      <c r="D56" s="5" t="inlineStr">
        <is>
          <t>M6</t>
        </is>
      </c>
      <c r="E56" s="5" t="inlineStr">
        <is>
          <t>オーナーは5種別すべて取り込める</t>
        </is>
      </c>
      <c r="F56" s="5" t="inlineStr">
        <is>
          <t>インポート</t>
        </is>
      </c>
      <c r="G56" s="5" t="inlineStr">
        <is>
          <t>オーナーは5種類すべて。店長は①②③が表示されず、④⑤のみ</t>
        </is>
      </c>
      <c r="H56" s="5" t="inlineStr">
        <is>
          <t>動作確認（検証プラン）</t>
        </is>
      </c>
      <c r="I56" s="5" t="inlineStr">
        <is>
          <t>OP-801</t>
        </is>
      </c>
      <c r="J56" s="5" t="inlineStr"/>
      <c r="K56" s="5" t="inlineStr"/>
      <c r="L56" s="5" t="inlineStr"/>
      <c r="M56" s="5" t="inlineStr"/>
      <c r="N56" s="5" t="inlineStr"/>
    </row>
    <row r="57">
      <c r="A57" s="5" t="inlineStr">
        <is>
          <t>AC-076</t>
        </is>
      </c>
      <c r="B57" s="5" t="inlineStr">
        <is>
          <t>2 / 4</t>
        </is>
      </c>
      <c r="C57" s="5" t="inlineStr">
        <is>
          <t>リリース必須</t>
        </is>
      </c>
      <c r="D57" s="5" t="inlineStr">
        <is>
          <t>M6</t>
        </is>
      </c>
      <c r="E57" s="5" t="inlineStr">
        <is>
          <t>店長が担当店舗の従業員を取り込める</t>
        </is>
      </c>
      <c r="F57" s="5" t="inlineStr">
        <is>
          <t>プレビュー／従業員一覧</t>
        </is>
      </c>
      <c r="G57" s="5" t="inlineStr">
        <is>
          <t>担当店舗のみのファイル → 全行が登録される（エラー＝0件）</t>
        </is>
      </c>
      <c r="H57" s="5" t="inlineStr">
        <is>
          <t>動作確認（検証プラン）</t>
        </is>
      </c>
      <c r="I57" s="5" t="inlineStr">
        <is>
          <t>OP-804</t>
        </is>
      </c>
      <c r="J57" s="5" t="inlineStr"/>
      <c r="K57" s="5" t="inlineStr"/>
      <c r="L57" s="5" t="inlineStr"/>
      <c r="M57" s="5" t="inlineStr"/>
      <c r="N57" s="5" t="inlineStr"/>
    </row>
    <row r="58">
      <c r="A58" s="5" t="inlineStr">
        <is>
          <t>AC-057</t>
        </is>
      </c>
      <c r="B58" s="5" t="inlineStr">
        <is>
          <t>3</t>
        </is>
      </c>
      <c r="C58" s="5" t="inlineStr">
        <is>
          <t>MVP必須</t>
        </is>
      </c>
      <c r="D58" s="5" t="inlineStr">
        <is>
          <t>M6</t>
        </is>
      </c>
      <c r="E58" s="5" t="inlineStr">
        <is>
          <t>インポートが案内する出口が塞がっていない</t>
        </is>
      </c>
      <c r="F58" s="5" t="inlineStr">
        <is>
          <t>従業員一覧</t>
        </is>
      </c>
      <c r="G58" s="5" t="inlineStr">
        <is>
          <t>値の削除・担当店舗変更・退職者の復帰の3操作すべてが実行できる（実行できない操作＝0件）</t>
        </is>
      </c>
      <c r="H58" s="5" t="inlineStr">
        <is>
          <t>動作確認（検証プラン）</t>
        </is>
      </c>
      <c r="I58" s="5" t="inlineStr">
        <is>
          <t>OP-609</t>
        </is>
      </c>
      <c r="J58" s="5" t="inlineStr"/>
      <c r="K58" s="5" t="inlineStr"/>
      <c r="L58" s="5" t="inlineStr"/>
      <c r="M58" s="5" t="inlineStr"/>
      <c r="N58" s="5" t="inlineStr"/>
    </row>
    <row r="59">
      <c r="A59" s="5" t="inlineStr">
        <is>
          <t>AC-059</t>
        </is>
      </c>
      <c r="B59" s="5" t="inlineStr">
        <is>
          <t>3</t>
        </is>
      </c>
      <c r="C59" s="5" t="inlineStr">
        <is>
          <t>MVP必須</t>
        </is>
      </c>
      <c r="D59" s="5" t="inlineStr">
        <is>
          <t>M6</t>
        </is>
      </c>
      <c r="E59" s="5" t="inlineStr">
        <is>
          <t>インポートしたデータが手入力で扱える</t>
        </is>
      </c>
      <c r="F59" s="5" t="inlineStr">
        <is>
          <t>従業員一覧</t>
        </is>
      </c>
      <c r="G59" s="5" t="inlineStr">
        <is>
          <t>編集・削除の2操作とも実行できる（実行できない操作＝0件）</t>
        </is>
      </c>
      <c r="H59" s="5" t="inlineStr">
        <is>
          <t>動作確認（検証プラン）</t>
        </is>
      </c>
      <c r="I59" s="5" t="inlineStr">
        <is>
          <t>OP-615</t>
        </is>
      </c>
      <c r="J59" s="5" t="inlineStr"/>
      <c r="K59" s="5" t="inlineStr"/>
      <c r="L59" s="5" t="inlineStr"/>
      <c r="M59" s="5" t="inlineStr"/>
      <c r="N59" s="5" t="inlineStr"/>
    </row>
    <row r="60">
      <c r="A60" s="5" t="inlineStr">
        <is>
          <t>AC-058</t>
        </is>
      </c>
      <c r="B60" s="5" t="inlineStr">
        <is>
          <t>1 / 3</t>
        </is>
      </c>
      <c r="C60" s="5" t="inlineStr">
        <is>
          <t>リリース必須</t>
        </is>
      </c>
      <c r="D60" s="5" t="inlineStr">
        <is>
          <t>M6</t>
        </is>
      </c>
      <c r="E60" s="5" t="inlineStr">
        <is>
          <t>登録経路によるスキーマの差異が無い</t>
        </is>
      </c>
      <c r="F60" s="5" t="inlineStr">
        <is>
          <t>各設定画面</t>
        </is>
      </c>
      <c r="G60" s="5" t="inlineStr">
        <is>
          <t>手入力の登録モーダルとCSVテンプレートで入力項目が一致する</t>
        </is>
      </c>
      <c r="H60" s="5" t="inlineStr">
        <is>
          <t>実装レビュー（登録モーダルとテンプレートの項目突合）</t>
        </is>
      </c>
      <c r="I60" s="5" t="inlineStr">
        <is>
          <t>OP-612</t>
        </is>
      </c>
      <c r="J60" s="5" t="inlineStr"/>
      <c r="K60" s="5" t="inlineStr"/>
      <c r="L60" s="5" t="inlineStr"/>
      <c r="M60" s="5" t="inlineStr"/>
      <c r="N60" s="5" t="inlineStr"/>
    </row>
    <row r="61">
      <c r="A61" s="5" t="inlineStr">
        <is>
          <t>AC-067</t>
        </is>
      </c>
      <c r="B61" s="5" t="inlineStr">
        <is>
          <t>3</t>
        </is>
      </c>
      <c r="C61" s="5" t="inlineStr">
        <is>
          <t>リリース必須</t>
        </is>
      </c>
      <c r="D61" s="5" t="inlineStr">
        <is>
          <t>M6</t>
        </is>
      </c>
      <c r="E61" s="5" t="inlineStr">
        <is>
          <t>削除後に再インポートできる</t>
        </is>
      </c>
      <c r="F61" s="5" t="inlineStr">
        <is>
          <t>プレビュー／従業員一覧</t>
        </is>
      </c>
      <c r="G61" s="5" t="inlineStr">
        <is>
          <t>削除した対象を再取り込み → 判定が「新規登録」（エラー・スキップ＝0件）</t>
        </is>
      </c>
      <c r="H61" s="5" t="inlineStr">
        <is>
          <t>動作確認（検証プラン）</t>
        </is>
      </c>
      <c r="I61" s="5" t="inlineStr">
        <is>
          <t>OP-617</t>
        </is>
      </c>
      <c r="J61" s="5" t="inlineStr"/>
      <c r="K61" s="5" t="inlineStr"/>
      <c r="L61" s="5" t="inlineStr"/>
      <c r="M61" s="5" t="inlineStr"/>
      <c r="N61" s="5" t="inlineStr"/>
    </row>
    <row r="62">
      <c r="A62" s="5" t="inlineStr">
        <is>
          <t>AC-069</t>
        </is>
      </c>
      <c r="B62" s="5" t="inlineStr">
        <is>
          <t>4</t>
        </is>
      </c>
      <c r="C62" s="5" t="inlineStr">
        <is>
          <t>リリース必須</t>
        </is>
      </c>
      <c r="D62" s="5" t="inlineStr">
        <is>
          <t>M6</t>
        </is>
      </c>
      <c r="E62" s="5" t="inlineStr">
        <is>
          <t>戻った先の一覧が最新である</t>
        </is>
      </c>
      <c r="F62" s="5" t="inlineStr">
        <is>
          <t>完了画面</t>
        </is>
      </c>
      <c r="G62" s="5" t="inlineStr">
        <is>
          <t>戻った先の一覧に取り込んだ件数が反映されている（反映漏れ＝0件）</t>
        </is>
      </c>
      <c r="H62" s="5" t="inlineStr">
        <is>
          <t>動作確認（検証プラン）</t>
        </is>
      </c>
      <c r="I62" s="5" t="inlineStr">
        <is>
          <t>OP-009</t>
        </is>
      </c>
      <c r="J62" s="5" t="inlineStr"/>
      <c r="K62" s="5" t="inlineStr"/>
      <c r="L62" s="5" t="inlineStr"/>
      <c r="M62" s="5" t="inlineStr"/>
      <c r="N62" s="5" t="inlineStr"/>
    </row>
    <row r="63">
      <c r="A63" s="5" t="inlineStr">
        <is>
          <t>AC-068</t>
        </is>
      </c>
      <c r="B63" s="5" t="inlineStr">
        <is>
          <t>1 / 3</t>
        </is>
      </c>
      <c r="C63" s="5" t="inlineStr">
        <is>
          <t>改善</t>
        </is>
      </c>
      <c r="D63" s="5" t="inlineStr">
        <is>
          <t>M6</t>
        </is>
      </c>
      <c r="E63" s="5" t="inlineStr">
        <is>
          <t>手入力とインポートで同じデータが作れる</t>
        </is>
      </c>
      <c r="F63" s="5" t="inlineStr">
        <is>
          <t>各設定画面</t>
        </is>
      </c>
      <c r="G63" s="5" t="inlineStr">
        <is>
          <t>登録できる。入力できる項目がテンプレートの列と一致する</t>
        </is>
      </c>
      <c r="H63" s="5" t="inlineStr">
        <is>
          <t>動作確認（検証プラン）</t>
        </is>
      </c>
      <c r="I63" s="5" t="inlineStr">
        <is>
          <t>OP-612</t>
        </is>
      </c>
      <c r="J63" s="5" t="inlineStr"/>
      <c r="K63" s="5" t="inlineStr"/>
      <c r="L63" s="5" t="inlineStr"/>
      <c r="M63" s="5" t="inlineStr"/>
      <c r="N63" s="5" t="inlineStr"/>
    </row>
    <row r="64">
      <c r="A64" s="5" t="inlineStr">
        <is>
          <t>AC-009</t>
        </is>
      </c>
      <c r="B64" s="5" t="inlineStr">
        <is>
          <t>4</t>
        </is>
      </c>
      <c r="C64" s="5" t="inlineStr">
        <is>
          <t>リリース必須</t>
        </is>
      </c>
      <c r="D64" s="5" t="inlineStr">
        <is>
          <t>M1</t>
        </is>
      </c>
      <c r="E64" s="5" t="inlineStr">
        <is>
          <t>設定画面から方式選択なしで該当画面に着く</t>
        </is>
      </c>
      <c r="F64" s="5" t="inlineStr">
        <is>
          <t>業態設定→インポート</t>
        </is>
      </c>
      <c r="G64" s="5" t="inlineStr">
        <is>
          <t>設定画面から起動 → 方式選択画面の表示回数＝0回（該当画面へ直行）</t>
        </is>
      </c>
      <c r="H64" s="5" t="inlineStr">
        <is>
          <t>動作確認（検証プラン）</t>
        </is>
      </c>
      <c r="I64" s="5" t="inlineStr">
        <is>
          <t>OP-008</t>
        </is>
      </c>
      <c r="J64" s="5" t="inlineStr"/>
      <c r="K64" s="5" t="inlineStr"/>
      <c r="L64" s="5" t="inlineStr"/>
      <c r="M64" s="5" t="inlineStr"/>
      <c r="N64" s="5" t="inlineStr"/>
    </row>
    <row r="65">
      <c r="A65" s="5" t="inlineStr">
        <is>
          <t>AC-010</t>
        </is>
      </c>
      <c r="B65" s="5" t="inlineStr">
        <is>
          <t>4</t>
        </is>
      </c>
      <c r="C65" s="5" t="inlineStr">
        <is>
          <t>リリース必須</t>
        </is>
      </c>
      <c r="D65" s="5" t="inlineStr">
        <is>
          <t>M1</t>
        </is>
      </c>
      <c r="E65" s="5" t="inlineStr">
        <is>
          <t>入口ごとに正しい場所へ戻る</t>
        </is>
      </c>
      <c r="F65" s="5" t="inlineStr">
        <is>
          <t>完了画面</t>
        </is>
      </c>
      <c r="G65" s="5" t="inlineStr">
        <is>
          <t>3経路それぞれで戻り先が正しい（誤った戻り先＝0件）</t>
        </is>
      </c>
      <c r="H65" s="5" t="inlineStr">
        <is>
          <t>動作確認（検証プラン）</t>
        </is>
      </c>
      <c r="I65" s="5" t="inlineStr">
        <is>
          <t>OP-009</t>
        </is>
      </c>
      <c r="J65" s="5" t="inlineStr"/>
      <c r="K65" s="5" t="inlineStr"/>
      <c r="L65" s="5" t="inlineStr"/>
      <c r="M65" s="5" t="inlineStr"/>
      <c r="N65" s="5" t="inlineStr"/>
    </row>
    <row r="66">
      <c r="A66" s="5" t="inlineStr">
        <is>
          <t>AC-006</t>
        </is>
      </c>
      <c r="B66" s="5" t="inlineStr">
        <is>
          <t>4</t>
        </is>
      </c>
      <c r="C66" s="5" t="inlineStr">
        <is>
          <t>改善</t>
        </is>
      </c>
      <c r="D66" s="5" t="inlineStr">
        <is>
          <t>M1</t>
        </is>
      </c>
      <c r="E66" s="5" t="inlineStr">
        <is>
          <t>インポート方式を再設定できる</t>
        </is>
      </c>
      <c r="F66" s="5" t="inlineStr">
        <is>
          <t>業態設定→インポート</t>
        </is>
      </c>
      <c r="G66" s="5" t="inlineStr">
        <is>
          <t>トップから方式を選び直せる（選び直せない＝不合格。再設定の成功＝1回で可）</t>
        </is>
      </c>
      <c r="H66" s="5" t="inlineStr">
        <is>
          <t>動作確認（検証プラン）</t>
        </is>
      </c>
      <c r="I66" s="5" t="inlineStr">
        <is>
          <t>OP-008</t>
        </is>
      </c>
      <c r="J66" s="5" t="inlineStr"/>
      <c r="K66" s="5" t="inlineStr"/>
      <c r="L66" s="5" t="inlineStr"/>
      <c r="M66" s="5" t="inlineStr"/>
      <c r="N66" s="5" t="inlineStr"/>
    </row>
    <row r="67">
      <c r="A67" s="5" t="inlineStr">
        <is>
          <t>AC-001</t>
        </is>
      </c>
      <c r="B67" s="5" t="inlineStr">
        <is>
          <t>2</t>
        </is>
      </c>
      <c r="C67" s="5" t="inlineStr">
        <is>
          <t>MVP必須</t>
        </is>
      </c>
      <c r="D67" s="5" t="inlineStr">
        <is>
          <t>M1</t>
        </is>
      </c>
      <c r="E67" s="5" t="inlineStr">
        <is>
          <t>テンプレートを5種類ダウンロードできる</t>
        </is>
      </c>
      <c r="F67" s="5" t="inlineStr">
        <is>
          <t>インポート</t>
        </is>
      </c>
      <c r="G67" s="5" t="inlineStr">
        <is>
          <t>5ファイルとも文字化けしない。③雇用区分・④従業員のコード列は空欄。②店舗の営業時間は1列。⑤管理者に権限列が無い</t>
        </is>
      </c>
      <c r="H67" s="5" t="inlineStr">
        <is>
          <t>動作確認（検証プラン）</t>
        </is>
      </c>
      <c r="I67" s="5" t="inlineStr">
        <is>
          <t>OP-101</t>
        </is>
      </c>
      <c r="J67" s="5" t="inlineStr"/>
      <c r="K67" s="5" t="inlineStr"/>
      <c r="L67" s="5" t="inlineStr"/>
      <c r="M67" s="5" t="inlineStr"/>
      <c r="N67" s="5" t="inlineStr"/>
    </row>
    <row r="68">
      <c r="A68" s="5" t="inlineStr">
        <is>
          <t>AC-002</t>
        </is>
      </c>
      <c r="B68" s="5" t="inlineStr">
        <is>
          <t>2</t>
        </is>
      </c>
      <c r="C68" s="5" t="inlineStr">
        <is>
          <t>MVP必須</t>
        </is>
      </c>
      <c r="D68" s="5" t="inlineStr">
        <is>
          <t>M1</t>
        </is>
      </c>
      <c r="E68" s="5" t="inlineStr">
        <is>
          <t>配布テンプレートのサンプル行にコードが入っていない</t>
        </is>
      </c>
      <c r="F68" s="5" t="inlineStr">
        <is>
          <t>インポート</t>
        </is>
      </c>
      <c r="G68" s="5" t="inlineStr">
        <is>
          <t>5ファイルとも文字化けしない。③雇用区分・④従業員のコード列は空欄。②店舗の営業時間は1列。⑤管理者に権限列が無い</t>
        </is>
      </c>
      <c r="H68" s="5" t="inlineStr">
        <is>
          <t>実装レビュー（配布テンプレート）</t>
        </is>
      </c>
      <c r="I68" s="5" t="inlineStr">
        <is>
          <t>OP-101</t>
        </is>
      </c>
      <c r="J68" s="5" t="inlineStr"/>
      <c r="K68" s="5" t="inlineStr"/>
      <c r="L68" s="5" t="inlineStr"/>
      <c r="M68" s="5" t="inlineStr"/>
      <c r="N68" s="5" t="inlineStr"/>
    </row>
    <row r="69">
      <c r="A69" s="5" t="inlineStr">
        <is>
          <t>AC-003</t>
        </is>
      </c>
      <c r="B69" s="5" t="inlineStr">
        <is>
          <t>2</t>
        </is>
      </c>
      <c r="C69" s="5" t="inlineStr">
        <is>
          <t>リリース必須</t>
        </is>
      </c>
      <c r="D69" s="5" t="inlineStr">
        <is>
          <t>M1</t>
        </is>
      </c>
      <c r="E69" s="5" t="inlineStr">
        <is>
          <t>⑤管理者に権限を選ぶ列が無い</t>
        </is>
      </c>
      <c r="F69" s="5" t="inlineStr">
        <is>
          <t>インポート</t>
        </is>
      </c>
      <c r="G69" s="5" t="inlineStr">
        <is>
          <t>5ファイルとも文字化けしない。③雇用区分・④従業員のコード列は空欄。②店舗の営業時間は1列。⑤管理者に権限列が無い</t>
        </is>
      </c>
      <c r="H69" s="5" t="inlineStr">
        <is>
          <t>実装レビュー（配布テンプレート）</t>
        </is>
      </c>
      <c r="I69" s="5" t="inlineStr">
        <is>
          <t>OP-101</t>
        </is>
      </c>
      <c r="J69" s="5" t="inlineStr"/>
      <c r="K69" s="5" t="inlineStr"/>
      <c r="L69" s="5" t="inlineStr"/>
      <c r="M69" s="5" t="inlineStr"/>
      <c r="N69" s="5" t="inlineStr"/>
    </row>
    <row r="70">
      <c r="A70" s="5" t="inlineStr">
        <is>
          <t>AC-004</t>
        </is>
      </c>
      <c r="B70" s="5" t="inlineStr">
        <is>
          <t>2</t>
        </is>
      </c>
      <c r="C70" s="5" t="inlineStr">
        <is>
          <t>リリース必須</t>
        </is>
      </c>
      <c r="D70" s="5" t="inlineStr">
        <is>
          <t>M1</t>
        </is>
      </c>
      <c r="E70" s="5" t="inlineStr">
        <is>
          <t>②店舗の営業時間が1列である</t>
        </is>
      </c>
      <c r="F70" s="5" t="inlineStr">
        <is>
          <t>インポート</t>
        </is>
      </c>
      <c r="G70" s="5" t="inlineStr">
        <is>
          <t>5ファイルとも文字化けしない。③雇用区分・④従業員のコード列は空欄。②店舗の営業時間は1列。⑤管理者に権限列が無い</t>
        </is>
      </c>
      <c r="H70" s="5" t="inlineStr">
        <is>
          <t>実装レビュー（配布テンプレート）</t>
        </is>
      </c>
      <c r="I70" s="5" t="inlineStr">
        <is>
          <t>OP-101</t>
        </is>
      </c>
      <c r="J70" s="5" t="inlineStr"/>
      <c r="K70" s="5" t="inlineStr"/>
      <c r="L70" s="5" t="inlineStr"/>
      <c r="M70" s="5" t="inlineStr"/>
      <c r="N70" s="5" t="inlineStr"/>
    </row>
    <row r="71">
      <c r="A71" s="5" t="inlineStr">
        <is>
          <t>AC-081</t>
        </is>
      </c>
      <c r="B71" s="5" t="inlineStr">
        <is>
          <t>2 / 4</t>
        </is>
      </c>
      <c r="C71" s="5" t="inlineStr">
        <is>
          <t>—</t>
        </is>
      </c>
      <c r="D71" s="5" t="inlineStr">
        <is>
          <t>—</t>
        </is>
      </c>
      <c r="E71" s="5" t="inlineStr">
        <is>
          <t>外部勤怠サービスインポートは対象外</t>
        </is>
      </c>
      <c r="F71" s="5" t="inlineStr">
        <is>
          <t>インポートのトップ</t>
        </is>
      </c>
      <c r="G71" s="5" t="inlineStr">
        <is>
          <t>3つとも凍結の案内が出る、または実装対象外として案内されない</t>
        </is>
      </c>
      <c r="H71" s="5" t="inlineStr">
        <is>
          <t>実装レビュー（対象外の確認）</t>
        </is>
      </c>
      <c r="I71" s="5" t="inlineStr">
        <is>
          <t>OP-901</t>
        </is>
      </c>
      <c r="J71" s="5" t="inlineStr"/>
      <c r="K71" s="5" t="inlineStr"/>
      <c r="L71" s="5" t="inlineStr"/>
      <c r="M71" s="5" t="inlineStr"/>
      <c r="N71" s="5" t="inlineStr"/>
    </row>
    <row r="72">
      <c r="A72" s="5" t="inlineStr">
        <is>
          <t>AC-082</t>
        </is>
      </c>
      <c r="B72" s="5" t="inlineStr">
        <is>
          <t>2 / 4</t>
        </is>
      </c>
      <c r="C72" s="5" t="inlineStr">
        <is>
          <t>—</t>
        </is>
      </c>
      <c r="D72" s="5" t="inlineStr">
        <is>
          <t>—</t>
        </is>
      </c>
      <c r="E72" s="5" t="inlineStr">
        <is>
          <t>補完テンプレート・デフォルト値設定は対象外</t>
        </is>
      </c>
      <c r="F72" s="5" t="inlineStr">
        <is>
          <t>補完テンプレート／プレビュー</t>
        </is>
      </c>
      <c r="G72" s="5" t="inlineStr">
        <is>
          <t>3つとも凍結の案内が出る、または実装対象外として案内されない</t>
        </is>
      </c>
      <c r="H72" s="5" t="inlineStr">
        <is>
          <t>実装レビュー（対象外の確認）</t>
        </is>
      </c>
      <c r="I72" s="5" t="inlineStr">
        <is>
          <t>OP-901</t>
        </is>
      </c>
      <c r="J72" s="5" t="inlineStr"/>
      <c r="K72" s="5" t="inlineStr"/>
      <c r="L72" s="5" t="inlineStr"/>
      <c r="M72" s="5" t="inlineStr"/>
      <c r="N72" s="5" t="inlineStr"/>
    </row>
    <row r="73">
      <c r="A73" s="5" t="inlineStr">
        <is>
          <t>AC-005</t>
        </is>
      </c>
      <c r="B73" s="5" t="inlineStr">
        <is>
          <t>2</t>
        </is>
      </c>
      <c r="C73" s="5" t="inlineStr">
        <is>
          <t>—</t>
        </is>
      </c>
      <c r="D73" s="5" t="inlineStr">
        <is>
          <t>—</t>
        </is>
      </c>
      <c r="E73" s="5" t="inlineStr">
        <is>
          <t>検証環境と初期データが整っている</t>
        </is>
      </c>
      <c r="F73" s="5" t="inlineStr">
        <is>
          <t>ログイン</t>
        </is>
      </c>
      <c r="G73" s="5" t="inlineStr">
        <is>
          <t>ダッシュボードが表示される。5種類すべてが0件。方式がテンプレートになっている</t>
        </is>
      </c>
      <c r="H73" s="5" t="inlineStr">
        <is>
          <t>実装レビュー（検証の前提）</t>
        </is>
      </c>
      <c r="I73" s="5" t="inlineStr">
        <is>
          <t>OP-001</t>
        </is>
      </c>
      <c r="J73" s="5" t="inlineStr"/>
      <c r="K73" s="5" t="inlineStr"/>
      <c r="L73" s="5" t="inlineStr"/>
      <c r="M73" s="5" t="inlineStr"/>
      <c r="N73" s="5" t="inlineStr"/>
    </row>
    <row r="74">
      <c r="A74" s="5" t="inlineStr">
        <is>
          <t>AC-007</t>
        </is>
      </c>
      <c r="B74" s="5" t="inlineStr">
        <is>
          <t>2</t>
        </is>
      </c>
      <c r="C74" s="5" t="inlineStr">
        <is>
          <t>—</t>
        </is>
      </c>
      <c r="D74" s="5" t="inlineStr">
        <is>
          <t>—</t>
        </is>
      </c>
      <c r="E74" s="5" t="inlineStr">
        <is>
          <t>新規登録と運用更新を分けて検証する</t>
        </is>
      </c>
      <c r="F74" s="5" t="inlineStr">
        <is>
          <t>ログイン</t>
        </is>
      </c>
      <c r="G74" s="5" t="inlineStr">
        <is>
          <t>ダッシュボードが表示される。5種類すべてが0件。方式がテンプレートになっている</t>
        </is>
      </c>
      <c r="H74" s="5" t="inlineStr">
        <is>
          <t>実装レビュー（検証の前提）</t>
        </is>
      </c>
      <c r="I74" s="5" t="inlineStr">
        <is>
          <t>OP-001</t>
        </is>
      </c>
      <c r="J74" s="5" t="inlineStr"/>
      <c r="K74" s="5" t="inlineStr"/>
      <c r="L74" s="5" t="inlineStr"/>
      <c r="M74" s="5" t="inlineStr"/>
      <c r="N74" s="5" t="inlineStr"/>
    </row>
    <row r="75">
      <c r="A75" s="5" t="inlineStr">
        <is>
          <t>AC-008</t>
        </is>
      </c>
      <c r="B75" s="5" t="inlineStr">
        <is>
          <t>2</t>
        </is>
      </c>
      <c r="C75" s="5" t="inlineStr">
        <is>
          <t>—</t>
        </is>
      </c>
      <c r="D75" s="5" t="inlineStr">
        <is>
          <t>—</t>
        </is>
      </c>
      <c r="E75" s="5" t="inlineStr">
        <is>
          <t>モックで期待動作を確認できる</t>
        </is>
      </c>
      <c r="F75" s="5" t="inlineStr">
        <is>
          <t>モック（公開URL）</t>
        </is>
      </c>
      <c r="G75" s="5" t="inlineStr">
        <is>
          <t>テンプレート側の画面が操作でき、外部勤怠側19画面に凍結バナーが出る</t>
        </is>
      </c>
      <c r="H75" s="5" t="inlineStr">
        <is>
          <t>実装レビュー（モック）</t>
        </is>
      </c>
      <c r="I75" s="5" t="inlineStr">
        <is>
          <t>OP-007</t>
        </is>
      </c>
      <c r="J75" s="5" t="inlineStr"/>
      <c r="K75" s="5" t="inlineStr"/>
      <c r="L75" s="5" t="inlineStr"/>
      <c r="M75" s="5" t="inlineStr"/>
      <c r="N75" s="5" t="inlineStr"/>
    </row>
    <row r="76">
      <c r="A76" s="5" t="inlineStr">
        <is>
          <t>AC-101</t>
        </is>
      </c>
      <c r="B76" s="5" t="inlineStr">
        <is>
          <t>1</t>
        </is>
      </c>
      <c r="C76" s="5" t="inlineStr">
        <is>
          <t>MVP必須</t>
        </is>
      </c>
      <c r="D76" s="5" t="inlineStr">
        <is>
          <t>M1</t>
        </is>
      </c>
      <c r="E76" s="5" t="inlineStr">
        <is>
          <t>手入力でも登録順序が守られる</t>
        </is>
      </c>
      <c r="F76" s="5" t="inlineStr">
        <is>
          <t>初期セットアップ</t>
        </is>
      </c>
      <c r="G76" s="5" t="inlineStr">
        <is>
          <t>未到達のステップで登録できた件数＝0件（警告バナーが出てボタンが押せない）</t>
        </is>
      </c>
      <c r="H76" s="5" t="inlineStr">
        <is>
          <t>動作確認（検証プラン）</t>
        </is>
      </c>
      <c r="I76" s="5" t="inlineStr">
        <is>
          <t>OP-022</t>
        </is>
      </c>
      <c r="J76" s="5" t="inlineStr"/>
      <c r="K76" s="5" t="inlineStr"/>
      <c r="L76" s="5" t="inlineStr"/>
      <c r="M76" s="5" t="inlineStr"/>
      <c r="N76" s="5" t="inlineStr"/>
    </row>
    <row r="77">
      <c r="A77" s="5" t="inlineStr">
        <is>
          <t>AC-102</t>
        </is>
      </c>
      <c r="B77" s="5" t="inlineStr">
        <is>
          <t>1</t>
        </is>
      </c>
      <c r="C77" s="5" t="inlineStr">
        <is>
          <t>リリース必須</t>
        </is>
      </c>
      <c r="D77" s="5" t="inlineStr">
        <is>
          <t>M1</t>
        </is>
      </c>
      <c r="E77" s="5" t="inlineStr">
        <is>
          <t>登録済みステップを再編集できる</t>
        </is>
      </c>
      <c r="F77" s="5" t="inlineStr">
        <is>
          <t>初期セットアップ</t>
        </is>
      </c>
      <c r="G77" s="5" t="inlineStr">
        <is>
          <t>登録済みステップを開くと再編集モードで開き、追加登録できる（開けない件数＝0件）</t>
        </is>
      </c>
      <c r="H77" s="5" t="inlineStr">
        <is>
          <t>動作確認（検証プラン）</t>
        </is>
      </c>
      <c r="I77" s="5" t="inlineStr">
        <is>
          <t>OP-023</t>
        </is>
      </c>
      <c r="J77" s="5" t="inlineStr"/>
      <c r="K77" s="5" t="inlineStr"/>
      <c r="L77" s="5" t="inlineStr"/>
      <c r="M77" s="5" t="inlineStr"/>
      <c r="N77" s="5" t="inlineStr"/>
    </row>
    <row r="78">
      <c r="A78" s="5" t="inlineStr">
        <is>
          <t>AC-103</t>
        </is>
      </c>
      <c r="B78" s="5" t="inlineStr">
        <is>
          <t>1 / 3</t>
        </is>
      </c>
      <c r="C78" s="5" t="inlineStr">
        <is>
          <t>MVP必須</t>
        </is>
      </c>
      <c r="D78" s="5" t="inlineStr">
        <is>
          <t>M1</t>
        </is>
      </c>
      <c r="E78" s="5" t="inlineStr">
        <is>
          <t>4項目完了で運用更新モードに切り替わる</t>
        </is>
      </c>
      <c r="F78" s="5" t="inlineStr">
        <is>
          <t>各設定画面</t>
        </is>
      </c>
      <c r="G78" s="5" t="inlineStr">
        <is>
          <t>done&gt;=4 で *-settings を開くと *-ops-settings へ転送される（転送されない＝不合格）</t>
        </is>
      </c>
      <c r="H78" s="5" t="inlineStr">
        <is>
          <t>動作確認（検証プラン）</t>
        </is>
      </c>
      <c r="I78" s="5" t="inlineStr">
        <is>
          <t>OP-025</t>
        </is>
      </c>
      <c r="J78" s="5" t="inlineStr"/>
      <c r="K78" s="5" t="inlineStr"/>
      <c r="L78" s="5" t="inlineStr"/>
      <c r="M78" s="5" t="inlineStr"/>
      <c r="N78" s="5" t="inlineStr"/>
    </row>
    <row r="79">
      <c r="A79" s="5" t="inlineStr">
        <is>
          <t>AC-104</t>
        </is>
      </c>
      <c r="B79" s="5" t="inlineStr">
        <is>
          <t>1 / 3</t>
        </is>
      </c>
      <c r="C79" s="5" t="inlineStr">
        <is>
          <t>リリース必須</t>
        </is>
      </c>
      <c r="D79" s="5" t="inlineStr">
        <is>
          <t>M1</t>
        </is>
      </c>
      <c r="E79" s="5" t="inlineStr">
        <is>
          <t>モードによって登録後の誘導が変わる</t>
        </is>
      </c>
      <c r="F79" s="5" t="inlineStr">
        <is>
          <t>初期セットアップ／各設定画面</t>
        </is>
      </c>
      <c r="G79" s="5" t="inlineStr">
        <is>
          <t>新規登録モード＝中央CTAモーダル。運用更新モード＝右上トースト（8秒）</t>
        </is>
      </c>
      <c r="H79" s="5" t="inlineStr">
        <is>
          <t>動作確認（検証プラン）</t>
        </is>
      </c>
      <c r="I79" s="5" t="inlineStr">
        <is>
          <t>OP-024 / OP-029</t>
        </is>
      </c>
      <c r="J79" s="5" t="inlineStr"/>
      <c r="K79" s="5" t="inlineStr"/>
      <c r="L79" s="5" t="inlineStr"/>
      <c r="M79" s="5" t="inlineStr"/>
      <c r="N79" s="5" t="inlineStr"/>
    </row>
    <row r="80">
      <c r="A80" s="5" t="inlineStr">
        <is>
          <t>AC-105</t>
        </is>
      </c>
      <c r="B80" s="5" t="inlineStr">
        <is>
          <t>1 / 3</t>
        </is>
      </c>
      <c r="C80" s="5" t="inlineStr">
        <is>
          <t>MVP必須</t>
        </is>
      </c>
      <c r="D80" s="5" t="inlineStr">
        <is>
          <t>M2</t>
        </is>
      </c>
      <c r="E80" s="5" t="inlineStr">
        <is>
          <t>登録モーダルが新規と編集で出し分けられる</t>
        </is>
      </c>
      <c r="F80" s="5" t="inlineStr">
        <is>
          <t>各設定画面</t>
        </is>
      </c>
      <c r="G80" s="5" t="inlineStr">
        <is>
          <t>新規＝空1行・複数行追加あり・一時保存あり・主ボタン「登録（N件）」／編集＝プリフィル・複数行なし・一時保存なし・主ボタン「更新」（食い違い＝0件）</t>
        </is>
      </c>
      <c r="H80" s="5" t="inlineStr">
        <is>
          <t>動作確認（検証プラン）</t>
        </is>
      </c>
      <c r="I80" s="5" t="inlineStr">
        <is>
          <t>OP-027</t>
        </is>
      </c>
      <c r="J80" s="5" t="inlineStr"/>
      <c r="K80" s="5" t="inlineStr"/>
      <c r="L80" s="5" t="inlineStr"/>
      <c r="M80" s="5" t="inlineStr"/>
      <c r="N80" s="5" t="inlineStr"/>
    </row>
    <row r="81">
      <c r="A81" s="5" t="inlineStr">
        <is>
          <t>AC-106</t>
        </is>
      </c>
      <c r="B81" s="5" t="inlineStr">
        <is>
          <t>1</t>
        </is>
      </c>
      <c r="C81" s="5" t="inlineStr">
        <is>
          <t>MVP必須</t>
        </is>
      </c>
      <c r="D81" s="5" t="inlineStr">
        <is>
          <t>M2</t>
        </is>
      </c>
      <c r="E81" s="5" t="inlineStr">
        <is>
          <t>マスタ参照のプルダウンが登録済みから生成される</t>
        </is>
      </c>
      <c r="F81" s="5" t="inlineStr">
        <is>
          <t>各設定画面</t>
        </is>
      </c>
      <c r="G81" s="5" t="inlineStr">
        <is>
          <t>登録すると選択肢に出現し、削除すると消える（削除後に残る件数＝0件）</t>
        </is>
      </c>
      <c r="H81" s="5" t="inlineStr">
        <is>
          <t>動作確認（検証プラン）</t>
        </is>
      </c>
      <c r="I81" s="5" t="inlineStr">
        <is>
          <t>OP-026</t>
        </is>
      </c>
      <c r="J81" s="5" t="inlineStr"/>
      <c r="K81" s="5" t="inlineStr"/>
      <c r="L81" s="5" t="inlineStr"/>
      <c r="M81" s="5" t="inlineStr"/>
      <c r="N81" s="5" t="inlineStr"/>
    </row>
    <row r="82">
      <c r="A82" s="5" t="inlineStr">
        <is>
          <t>AC-107</t>
        </is>
      </c>
      <c r="B82" s="5" t="inlineStr">
        <is>
          <t>3</t>
        </is>
      </c>
      <c r="C82" s="5" t="inlineStr">
        <is>
          <t>MVP必須</t>
        </is>
      </c>
      <c r="D82" s="5" t="inlineStr">
        <is>
          <t>M6</t>
        </is>
      </c>
      <c r="E82" s="5" t="inlineStr">
        <is>
          <t>一覧の各行から編集・削除ができる</t>
        </is>
      </c>
      <c r="F82" s="5" t="inlineStr">
        <is>
          <t>各設定画面</t>
        </is>
      </c>
      <c r="G82" s="5" t="inlineStr">
        <is>
          <t>全行に[編集][削除]がある（無い行＝0件）。削除は確認ダイアログの後に消える</t>
        </is>
      </c>
      <c r="H82" s="5" t="inlineStr">
        <is>
          <t>動作確認（検証プラン）</t>
        </is>
      </c>
      <c r="I82" s="5" t="inlineStr">
        <is>
          <t>OP-028</t>
        </is>
      </c>
      <c r="J82" s="5" t="inlineStr"/>
      <c r="K82" s="5" t="inlineStr"/>
      <c r="L82" s="5" t="inlineStr"/>
      <c r="M82" s="5" t="inlineStr"/>
      <c r="N82" s="5" t="inlineStr"/>
    </row>
    <row r="83">
      <c r="A83" s="5" t="inlineStr">
        <is>
          <t>AC-108</t>
        </is>
      </c>
      <c r="B83" s="5" t="inlineStr">
        <is>
          <t>1</t>
        </is>
      </c>
      <c r="C83" s="5" t="inlineStr">
        <is>
          <t>MVP必須</t>
        </is>
      </c>
      <c r="D83" s="5" t="inlineStr">
        <is>
          <t>M3</t>
        </is>
      </c>
      <c r="E83" s="5" t="inlineStr">
        <is>
          <t>手入力だけで初期セットアップを完了できる</t>
        </is>
      </c>
      <c r="F83" s="5" t="inlineStr">
        <is>
          <t>初期セットアップ（通し）</t>
        </is>
      </c>
      <c r="G83" s="5" t="inlineStr">
        <is>
          <t>CSVを使わず①〜④を登録し、4項目完了・運用更新モードへ切替・招待メール送信までできる</t>
        </is>
      </c>
      <c r="H83" s="5" t="inlineStr">
        <is>
          <t>動作確認（検証プラン）</t>
        </is>
      </c>
      <c r="I83" s="5" t="inlineStr">
        <is>
          <t>OP-031</t>
        </is>
      </c>
      <c r="J83" s="5" t="inlineStr"/>
      <c r="K83" s="5" t="inlineStr"/>
      <c r="L83" s="5" t="inlineStr"/>
      <c r="M83" s="5" t="inlineStr"/>
      <c r="N83" s="5" t="inlineStr"/>
    </row>
    <row r="84">
      <c r="A84" s="5" t="inlineStr">
        <is>
          <t>AC-109</t>
        </is>
      </c>
      <c r="B84" s="5" t="inlineStr">
        <is>
          <t>1 / 3</t>
        </is>
      </c>
      <c r="C84" s="5" t="inlineStr">
        <is>
          <t>MVP必須</t>
        </is>
      </c>
      <c r="D84" s="5" t="inlineStr">
        <is>
          <t>M3</t>
        </is>
      </c>
      <c r="E84" s="5" t="inlineStr">
        <is>
          <t>同じメールアドレスで二重に招待されない</t>
        </is>
      </c>
      <c r="F84" s="5" t="inlineStr">
        <is>
          <t>従業員一覧／管理者一覧／メール</t>
        </is>
      </c>
      <c r="G84" s="5" t="inlineStr">
        <is>
          <t>従業員と管理者の両方で登録しても招待メール＝1通（2通目＝0通）。1アカウントに両方の権限が付く</t>
        </is>
      </c>
      <c r="H84" s="5" t="inlineStr">
        <is>
          <t>動作確認（検証プラン）</t>
        </is>
      </c>
      <c r="I84" s="5" t="inlineStr">
        <is>
          <t>OP-032</t>
        </is>
      </c>
      <c r="J84" s="5" t="inlineStr"/>
      <c r="K84" s="5" t="inlineStr"/>
      <c r="L84" s="5" t="inlineStr"/>
      <c r="M84" s="5" t="inlineStr"/>
      <c r="N84" s="5" t="inlineStr"/>
    </row>
    <row r="85">
      <c r="A85" s="5" t="inlineStr">
        <is>
          <t>AC-110</t>
        </is>
      </c>
      <c r="B85" s="5" t="inlineStr">
        <is>
          <t>1</t>
        </is>
      </c>
      <c r="C85" s="5" t="inlineStr">
        <is>
          <t>リリース必須</t>
        </is>
      </c>
      <c r="D85" s="5" t="inlineStr">
        <is>
          <t>M1</t>
        </is>
      </c>
      <c r="E85" s="5" t="inlineStr">
        <is>
          <t>業態は名前を入力して作成する</t>
        </is>
      </c>
      <c r="F85" s="5" t="inlineStr">
        <is>
          <t>業態設定</t>
        </is>
      </c>
      <c r="G85" s="5" t="inlineStr">
        <is>
          <t>業態名がテキスト入力である（プルダウンでの選択のみ＝不合格。テキスト入力欄＝1個）</t>
        </is>
      </c>
      <c r="H85" s="5" t="inlineStr">
        <is>
          <t>実装レビュー（登録モーダル）</t>
        </is>
      </c>
      <c r="I85" s="5" t="inlineStr">
        <is>
          <t>OP-030</t>
        </is>
      </c>
      <c r="J85" s="5" t="inlineStr"/>
      <c r="K85" s="5" t="inlineStr"/>
      <c r="L85" s="5" t="inlineStr"/>
      <c r="M85" s="5" t="inlineStr"/>
      <c r="N85" s="5" t="inlineStr"/>
    </row>
    <row r="86">
      <c r="A86" s="5" t="inlineStr">
        <is>
          <t>AC-111</t>
        </is>
      </c>
      <c r="B86" s="5" t="inlineStr">
        <is>
          <t>1</t>
        </is>
      </c>
      <c r="C86" s="5" t="inlineStr">
        <is>
          <t>リリース必須</t>
        </is>
      </c>
      <c r="D86" s="5" t="inlineStr">
        <is>
          <t>M1</t>
        </is>
      </c>
      <c r="E86" s="5" t="inlineStr">
        <is>
          <t>初期セットアップの進捗が見える</t>
        </is>
      </c>
      <c r="F86" s="5" t="inlineStr">
        <is>
          <t>初期セットアップ</t>
        </is>
      </c>
      <c r="G86" s="5" t="inlineStr">
        <is>
          <t>完了ステップ数（0〜4）と各ステップの登録件数が表示される（表示されない項目＝0件）</t>
        </is>
      </c>
      <c r="H86" s="5" t="inlineStr">
        <is>
          <t>動作確認（検証プラン）</t>
        </is>
      </c>
      <c r="I86" s="5" t="inlineStr">
        <is>
          <t>OP-033</t>
        </is>
      </c>
      <c r="J86" s="5" t="inlineStr"/>
      <c r="K86" s="5" t="inlineStr"/>
      <c r="L86" s="5" t="inlineStr"/>
      <c r="M86" s="5" t="inlineStr"/>
      <c r="N86" s="5" t="inlineStr"/>
    </row>
    <row r="87">
      <c r="A87" s="5" t="inlineStr">
        <is>
          <t>AC-112</t>
        </is>
      </c>
      <c r="B87" s="5" t="inlineStr">
        <is>
          <t>1</t>
        </is>
      </c>
      <c r="C87" s="5" t="inlineStr">
        <is>
          <t>MVP必須</t>
        </is>
      </c>
      <c r="D87" s="5" t="inlineStr">
        <is>
          <t>M1</t>
        </is>
      </c>
      <c r="E87" s="5" t="inlineStr">
        <is>
          <t>手入力での新規登録ができる</t>
        </is>
      </c>
      <c r="F87" s="5" t="inlineStr">
        <is>
          <t>初期セットアップ／業態設定</t>
        </is>
      </c>
      <c r="G87" s="5" t="inlineStr">
        <is>
          <t>初期セットアップから①業態を3件登録でき、登録済み件数＝3件と表示される</t>
        </is>
      </c>
      <c r="H87" s="5" t="inlineStr">
        <is>
          <t>動作確認（検証プラン）</t>
        </is>
      </c>
      <c r="I87" s="5" t="inlineStr">
        <is>
          <t>OP-021</t>
        </is>
      </c>
      <c r="J87" s="5" t="inlineStr"/>
      <c r="K87" s="5" t="inlineStr"/>
      <c r="L87" s="5" t="inlineStr"/>
      <c r="M87" s="5" t="inlineStr"/>
      <c r="N87" s="5" t="inlineStr"/>
    </row>
    <row r="88">
      <c r="A88" s="5" t="inlineStr">
        <is>
          <t>AC-113</t>
        </is>
      </c>
      <c r="B88" s="5" t="inlineStr">
        <is>
          <t>1 / 3</t>
        </is>
      </c>
      <c r="C88" s="5" t="inlineStr">
        <is>
          <t>MVP必須</t>
        </is>
      </c>
      <c r="D88" s="5" t="inlineStr">
        <is>
          <t>M6</t>
        </is>
      </c>
      <c r="E88" s="5" t="inlineStr">
        <is>
          <t>運用中に手入力で1件ずつ追加できる</t>
        </is>
      </c>
      <c r="F88" s="5" t="inlineStr">
        <is>
          <t>各設定画面（運用）</t>
        </is>
      </c>
      <c r="G88" s="5" t="inlineStr">
        <is>
          <t>運用更新画面の「+ 追加」から登録でき、一覧に反映される（登録できない種別＝0件）</t>
        </is>
      </c>
      <c r="H88" s="5" t="inlineStr">
        <is>
          <t>動作確認（検証プラン）</t>
        </is>
      </c>
      <c r="I88" s="5" t="inlineStr">
        <is>
          <t>OP-029 / OP-612</t>
        </is>
      </c>
      <c r="J88" s="5" t="inlineStr"/>
      <c r="K88" s="5" t="inlineStr"/>
      <c r="L88" s="5" t="inlineStr"/>
      <c r="M88" s="5" t="inlineStr"/>
      <c r="N88" s="5" t="inlineStr"/>
    </row>
    <row r="89">
      <c r="A89" s="5" t="inlineStr">
        <is>
          <t>AC-114</t>
        </is>
      </c>
      <c r="B89" s="5" t="inlineStr">
        <is>
          <t>2 / 4</t>
        </is>
      </c>
      <c r="C89" s="5" t="inlineStr">
        <is>
          <t>MVP必須</t>
        </is>
      </c>
      <c r="D89" s="5" t="inlineStr">
        <is>
          <t>M2</t>
        </is>
      </c>
      <c r="E89" s="5" t="inlineStr">
        <is>
          <t>セットアップ中に取り込み直せる</t>
        </is>
      </c>
      <c r="F89" s="5" t="inlineStr">
        <is>
          <t>プレビュー／アップロード</t>
        </is>
      </c>
      <c r="G89" s="5" t="inlineStr">
        <is>
          <t>エラー行を直して再アップロードすると受理され、取り込める（やり直しになった回数＝0回）</t>
        </is>
      </c>
      <c r="H89" s="5" t="inlineStr">
        <is>
          <t>動作確認（検証プラン）</t>
        </is>
      </c>
      <c r="I89" s="5" t="inlineStr">
        <is>
          <t>OP-306 / OP-307 / OP-219</t>
        </is>
      </c>
      <c r="J89" s="5" t="inlineStr"/>
      <c r="K89" s="5" t="inlineStr"/>
      <c r="L89" s="5" t="inlineStr"/>
      <c r="M89" s="5" t="inlineStr"/>
      <c r="N89" s="5" t="inlineStr"/>
    </row>
  </sheetData>
  <autoFilter ref="A1:N89"/>
  <conditionalFormatting sqref="B2:B89">
    <cfRule type="cellIs" priority="1" operator="equal" dxfId="0">
      <formula>"1"</formula>
    </cfRule>
    <cfRule type="cellIs" priority="2" operator="equal" dxfId="1">
      <formula>"2"</formula>
    </cfRule>
    <cfRule type="cellIs" priority="3" operator="equal" dxfId="2">
      <formula>"3"</formula>
    </cfRule>
    <cfRule type="cellIs" priority="4" operator="equal" dxfId="3">
      <formula>"4"</formula>
    </cfRule>
  </conditionalFormatting>
  <conditionalFormatting sqref="C2:C89">
    <cfRule type="cellIs" priority="5" operator="equal" dxfId="4">
      <formula>"MVP必須"</formula>
    </cfRule>
  </conditionalFormatting>
  <conditionalFormatting sqref="L2:L89">
    <cfRule type="cellIs" priority="6" operator="equal" dxfId="5">
      <formula>"合格"</formula>
    </cfRule>
    <cfRule type="cellIs" priority="7" operator="equal" dxfId="6">
      <formula>"不合格"</formula>
    </cfRule>
  </conditionalFormatting>
  <dataValidations count="2">
    <dataValidation sqref="J2:J89" showDropDown="0" showInputMessage="0" showErrorMessage="0" allowBlank="1" type="list">
      <formula1>"○,△,×"</formula1>
    </dataValidation>
    <dataValidation sqref="L2:L89" showDropDown="0" showInputMessage="0" showErrorMessage="0" allowBlank="1" type="list">
      <formula1>"合格,不合格"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2026-08-05T01:53:16Z</dcterms:created>
  <dcterms:modified xmlns:dcterms="http://purl.org/dc/terms/" xmlns:xsi="http://www.w3.org/2001/XMLSchema-instance" xsi:type="dcterms:W3CDTF">2026-08-05T01:53:16Z</dcterms:modified>
</cp:coreProperties>
</file>